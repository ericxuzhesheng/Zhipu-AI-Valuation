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90cb07514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b1c8cbca6e464b3c"/>
    <x:sheet xmlns:r="http://schemas.openxmlformats.org/officeDocument/2006/relationships" name="Comps" sheetId="2" r:id="Ra6e1ac5902c34657"/>
    <x:sheet xmlns:r="http://schemas.openxmlformats.org/officeDocument/2006/relationships" name="Inputs" sheetId="3" r:id="Rf332ddc1be3f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#,##0.0;(#,##0.0);&quot;-&quot;"/>
    <x:numFmt numFmtId="201" formatCode="dd-mmm-yyyy"/>
    <x:numFmt numFmtId="202" formatCode="$#,##0.0;($#,##0.0);&quot;-&quot;"/>
    <x:numFmt numFmtId="203" formatCode="0.0&quot;x&quot;"/>
    <x:numFmt numFmtId="204" formatCode="0.0%;(0.0%);&quot;-&quot;"/>
    <x:numFmt numFmtId="205" formatCode="0.000"/>
    <x:numFmt numFmtId="206" formatCode="0"/>
    <x:numFmt numFmtId="207" formatCode="$0.000"/>
    <x:numFmt numFmtId="208" formatCode="0&quot;E&quot;"/>
    <x:numFmt numFmtId="209" formatCode="$0.00;($0.00);&quot;-&quot;"/>
    <x:numFmt numFmtId="210" formatCode="0.0"/>
    <x:numFmt numFmtId="211" formatCode="yyyy-mm-dd"/>
    <x:numFmt numFmtId="212" formatCode="0.0%"/>
    <x:numFmt numFmtId="213" formatCode="#,##0.000;(#,##0.000);&quot;-&quot;"/>
    <x:numFmt numFmtId="214" formatCode="0%"/>
  </x:numFmts>
  <x:fonts count="21">
    <x:font>
      <x:sz val="11"/>
      <x:name val="Carlito"/>
    </x:font>
    <x:font>
      <x:sz val="10"/>
      <x:color rgb="FF242A31"/>
      <x:name val="Arial"/>
    </x:font>
    <x:font>
      <x:b/>
      <x:sz val="16"/>
      <x:color rgb="FF242A31"/>
      <x:name val="Arial"/>
    </x:font>
    <x:font>
      <x:i/>
      <x:sz val="10"/>
      <x:color rgb="FF606A7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i/>
      <x:sz val="10"/>
      <x:color rgb="FF242A31"/>
      <x:name val="Arial"/>
    </x:font>
    <x:font>
      <x:i/>
      <x:sz val="10"/>
      <x:color rgb="FF0000FF"/>
      <x:name val="Arial"/>
    </x:font>
    <x:font>
      <x:sz val="10"/>
      <x:color rgb="FF606A75"/>
      <x:name val="Arial"/>
    </x:font>
    <x:font>
      <x:b/>
      <x:sz val="10"/>
      <x:color rgb="FF242A31"/>
      <x:name val="Arial"/>
    </x:font>
    <x:font>
      <x:i/>
      <x:sz val="10"/>
      <x:color rgb="FF000000"/>
      <x:name val="Arial"/>
    </x:font>
    <x:font>
      <x:i/>
      <x:sz val="10"/>
      <x:color rgb="FF9C2525"/>
      <x:name val="Arial"/>
    </x:font>
    <x:font>
      <x:sz val="9"/>
      <x:color rgb="FF365D85"/>
      <x:name val="Arial"/>
    </x:font>
    <x:font>
      <x:b/>
      <x:sz val="10"/>
      <x:color rgb="FF000000"/>
      <x:name val="Arial"/>
    </x:font>
    <x:font>
      <x:b/>
      <x:sz val="10"/>
      <x:color rgb="FF9C2525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b/>
      <x:sz val="10"/>
      <x:color rgb="FF606A75"/>
      <x:name val="Arial"/>
    </x:font>
    <x:font>
      <x:i/>
      <x:sz val="10"/>
      <x:color rgb="FF008000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44354"/>
      </x:patternFill>
    </x:fill>
    <x:fill>
      <x:patternFill patternType="solid">
        <x:fgColor rgb="FFFFF2CC"/>
      </x:patternFill>
    </x:fill>
    <x:fill>
      <x:patternFill patternType="solid">
        <x:fgColor rgb="FFEDF1F5"/>
      </x:patternFill>
    </x:fill>
    <x:fill>
      <x:patternFill patternType="solid">
        <x:fgColor rgb="FFE8EDF2"/>
      </x:patternFill>
    </x:fill>
    <x:fill>
      <x:patternFill patternType="solid">
        <x:fgColor rgb="FF31465A"/>
      </x:patternFill>
    </x:fill>
    <x:fill>
      <x:patternFill patternType="solid">
        <x:fgColor rgb="FF31465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CD3DB"/>
      </x:bottom>
      <x:diagonal/>
    </x:border>
    <x:border>
      <x:left/>
      <x:right/>
      <x:top style="thin">
        <x:color rgb="FFCCD3DB"/>
      </x:top>
      <x:bottom/>
      <x:diagonal/>
    </x:border>
  </x:borders>
  <x:cellStyleXfs count="1">
    <x:xf numFmtId="0" fontId="0" fillId="0" borderId="0"/>
  </x:cellStyleXfs>
  <x:cellXfs count="1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lef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5" fillId="3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left"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4" fontId="8" fillId="3" borderId="0" xfId="0" applyNumberFormat="1" applyFont="1" applyFill="1" applyBorder="1" applyAlignment="1">
      <x:alignment horizontal="right" vertical="center"/>
    </x:xf>
    <x:xf numFmtId="205" fontId="5" fillId="3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lef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 applyAlignment="1">
      <x:alignment horizontal="left" vertical="center"/>
    </x:xf>
    <x:xf numFmtId="206" fontId="10" fillId="4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 applyAlignment="1">
      <x:alignment horizontal="center" vertical="center"/>
    </x:xf>
    <x:xf numFmtId="206" fontId="10" fillId="4" borderId="0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1" fillId="5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lef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207" fontId="5" fillId="0" borderId="0" xfId="0" applyNumberFormat="1" applyFont="1" applyFill="1" applyBorder="1" applyAlignment="1">
      <x:alignment horizontal="right" vertic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horizontal="lef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right" vertical="center"/>
    </x:xf>
    <x:xf numFmtId="0" fontId="15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14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6" fillId="0" borderId="0" xfId="0" applyNumberFormat="1" applyFont="1" applyFill="1" applyBorder="1" applyAlignment="1">
      <x:alignment horizontal="right" vertical="center"/>
    </x:xf>
    <x:xf numFmtId="202" fontId="16" fillId="0" borderId="0" xfId="0" applyNumberFormat="1" applyFont="1" applyFill="1" applyBorder="1" applyAlignment="1">
      <x:alignment horizontal="right" vertical="center"/>
    </x:xf>
    <x:xf numFmtId="202" fontId="17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2" fontId="17" fillId="4" borderId="0" xfId="0" applyNumberFormat="1" applyFont="1" applyFill="1" applyBorder="1" applyAlignment="1">
      <x:alignment horizontal="right" vertical="center"/>
    </x:xf>
    <x:xf numFmtId="0" fontId="10" fillId="4" borderId="2" xfId="0" applyNumberFormat="1" applyFont="1" applyFill="1" applyBorder="1" applyAlignment="1">
      <x:alignment horizontal="left" vertical="center"/>
    </x:xf>
    <x:xf numFmtId="200" fontId="10" fillId="4" borderId="2" xfId="0" applyNumberFormat="1" applyFont="1" applyFill="1" applyBorder="1" applyAlignment="1">
      <x:alignment horizontal="right" vertical="center"/>
    </x:xf>
    <x:xf numFmtId="202" fontId="17" fillId="4" borderId="2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202" fontId="14" fillId="4" borderId="0" xfId="0" applyNumberFormat="1" applyFont="1" applyFill="1" applyBorder="1" applyAlignment="1">
      <x:alignment horizontal="right" vertical="center"/>
    </x:xf>
    <x:xf numFmtId="202" fontId="14" fillId="4" borderId="2" xfId="0" applyNumberFormat="1" applyFont="1" applyFill="1" applyBorder="1" applyAlignment="1">
      <x:alignment horizontal="right" vertical="center"/>
    </x:xf>
    <x:xf numFmtId="200" fontId="10" fillId="4" borderId="2" xfId="0" applyNumberFormat="1" applyFont="1" applyFill="1" applyBorder="1" applyAlignment="1">
      <x:alignment horizontal="left" vertical="center"/>
    </x:xf>
    <x:xf numFmtId="206" fontId="6" fillId="0" borderId="0" xfId="0" applyNumberFormat="1" applyFont="1" applyFill="1" applyBorder="1" applyAlignment="1">
      <x:alignment horizontal="right" vertical="center"/>
    </x:xf>
    <x:xf numFmtId="204" fontId="7" fillId="0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9" fillId="4" borderId="0" xfId="0" applyNumberFormat="1" applyFont="1" applyFill="1" applyBorder="1" applyAlignment="1">
      <x:alignment horizontal="left" vertical="center"/>
    </x:xf>
    <x:xf numFmtId="202" fontId="10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left" vertical="center"/>
    </x:xf>
    <x:xf numFmtId="200" fontId="18" fillId="4" borderId="0" xfId="0" applyNumberFormat="1" applyFont="1" applyFill="1" applyBorder="1" applyAlignment="1">
      <x:alignment horizontal="left" vertical="center"/>
    </x:xf>
    <x:xf numFmtId="202" fontId="10" fillId="4" borderId="2" xfId="0" applyNumberFormat="1" applyFont="1" applyFill="1" applyBorder="1" applyAlignment="1">
      <x:alignment horizontal="right" vertical="center"/>
    </x:xf>
    <x:xf numFmtId="200" fontId="18" fillId="4" borderId="2" xfId="0" applyNumberFormat="1" applyFont="1" applyFill="1" applyBorder="1" applyAlignment="1">
      <x:alignment horizontal="left" vertical="center"/>
    </x:xf>
    <x:xf numFmtId="203" fontId="16" fillId="0" borderId="0" xfId="0" applyNumberFormat="1" applyFont="1" applyFill="1" applyBorder="1" applyAlignment="1">
      <x:alignment horizontal="right" vertical="center"/>
    </x:xf>
    <x:xf numFmtId="203" fontId="19" fillId="0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208" fontId="10" fillId="4" borderId="0" xfId="0" applyNumberFormat="1" applyFont="1" applyFill="1" applyBorder="1" applyAlignment="1">
      <x:alignment horizontal="right" vertical="center"/>
    </x:xf>
    <x:xf numFmtId="208" fontId="10" fillId="4" borderId="0" xfId="0" applyNumberFormat="1" applyFont="1" applyFill="1" applyBorder="1" applyAlignment="1">
      <x:alignment horizontal="center" vertical="center"/>
    </x:xf>
    <x:xf numFmtId="200" fontId="19" fillId="0" borderId="0" xfId="0" applyNumberFormat="1" applyFont="1" applyFill="1" applyBorder="1" applyAlignment="1">
      <x:alignment horizontal="right" vertical="center"/>
    </x:xf>
    <x:xf numFmtId="204" fontId="19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5" fontId="7" fillId="0" borderId="0" xfId="0" applyNumberFormat="1" applyFont="1" applyFill="1" applyBorder="1" applyAlignment="1">
      <x:alignment horizontal="right" vertical="center"/>
    </x:xf>
    <x:xf numFmtId="205" fontId="19" fillId="0" borderId="0" xfId="0" applyNumberFormat="1" applyFont="1" applyFill="1" applyBorder="1" applyAlignment="1">
      <x:alignment horizontal="right" vertical="center"/>
    </x:xf>
    <x:xf numFmtId="206" fontId="16" fillId="0" borderId="0" xfId="0" applyNumberFormat="1" applyFont="1" applyFill="1" applyBorder="1" applyAlignment="1">
      <x:alignment horizontal="right" vertical="center"/>
    </x:xf>
    <x:xf numFmtId="202" fontId="16" fillId="4" borderId="0" xfId="0" applyNumberFormat="1" applyFont="1" applyFill="1" applyBorder="1" applyAlignment="1">
      <x:alignment horizontal="right" vertical="center"/>
    </x:xf>
    <x:xf numFmtId="204" fontId="6" fillId="0" borderId="0" xfId="0" applyNumberFormat="1" applyFont="1" applyFill="1" applyBorder="1" applyAlignment="1">
      <x:alignment horizontal="right" vertical="center"/>
    </x:xf>
    <x:xf numFmtId="204" fontId="11" fillId="0" borderId="0" xfId="0" applyNumberFormat="1" applyFont="1" applyFill="1" applyBorder="1" applyAlignment="1">
      <x:alignment horizontal="right" vertical="center"/>
    </x:xf>
    <x:xf numFmtId="204" fontId="16" fillId="0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0" fillId="4" borderId="0" xfId="0" applyNumberFormat="1" applyFont="1" applyFill="1" applyBorder="1" applyAlignment="1">
      <x:alignment horizontal="right" vertical="center"/>
    </x:xf>
    <x:xf numFmtId="203" fontId="10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6" fillId="0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left" vertical="center"/>
    </x:xf>
    <x:xf numFmtId="202" fontId="6" fillId="4" borderId="0" xfId="0" applyNumberFormat="1" applyFont="1" applyFill="1" applyBorder="1" applyAlignment="1">
      <x:alignment horizontal="left" vertical="center"/>
    </x:xf>
    <x:xf numFmtId="202" fontId="7" fillId="4" borderId="0" xfId="0" applyNumberFormat="1" applyFont="1" applyFill="1" applyBorder="1" applyAlignment="1">
      <x:alignment horizontal="left" vertical="center"/>
    </x:xf>
    <x:xf numFmtId="202" fontId="11" fillId="4" borderId="0" xfId="0" applyNumberFormat="1" applyFont="1" applyFill="1" applyBorder="1" applyAlignment="1">
      <x:alignment horizontal="lef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2" fontId="11" fillId="4" borderId="0" xfId="0" applyNumberFormat="1" applyFont="1" applyFill="1" applyBorder="1" applyAlignment="1">
      <x:alignment horizontal="right" vertical="center"/>
    </x:xf>
    <x:xf numFmtId="205" fontId="16" fillId="0" borderId="0" xfId="0" applyNumberFormat="1" applyFont="1" applyFill="1" applyBorder="1" applyAlignment="1">
      <x:alignment horizontal="right" vertical="center"/>
    </x:xf>
    <x:xf numFmtId="205" fontId="6" fillId="0" borderId="0" xfId="0" applyNumberFormat="1" applyFont="1" applyFill="1" applyBorder="1" applyAlignment="1">
      <x:alignment horizontal="right" vertical="center"/>
    </x:xf>
    <x:xf numFmtId="209" fontId="6" fillId="0" borderId="0" xfId="0" applyNumberFormat="1" applyFont="1" applyFill="1" applyBorder="1" applyAlignment="1">
      <x:alignment horizontal="right" vertical="center"/>
    </x:xf>
    <x:xf numFmtId="205" fontId="6" fillId="4" borderId="0" xfId="0" applyNumberFormat="1" applyFont="1" applyFill="1" applyBorder="1" applyAlignment="1">
      <x:alignment horizontal="right" vertical="center"/>
    </x:xf>
    <x:xf numFmtId="205" fontId="14" fillId="4" borderId="0" xfId="0" applyNumberFormat="1" applyFont="1" applyFill="1" applyBorder="1" applyAlignment="1">
      <x:alignment horizontal="right" vertical="center"/>
    </x:xf>
    <x:xf numFmtId="205" fontId="14" fillId="4" borderId="2" xfId="0" applyNumberFormat="1" applyFont="1" applyFill="1" applyBorder="1" applyAlignment="1">
      <x:alignment horizontal="right" vertical="center"/>
    </x:xf>
    <x:xf numFmtId="200" fontId="18" fillId="4" borderId="2" xfId="0" applyNumberFormat="1" applyFont="1" applyFill="1" applyBorder="1" applyAlignment="1">
      <x:alignment horizontal="right" vertical="center"/>
    </x:xf>
    <x:xf numFmtId="204" fontId="6" fillId="4" borderId="0" xfId="0" applyNumberFormat="1" applyFont="1" applyFill="1" applyBorder="1" applyAlignment="1">
      <x:alignment horizontal="right" vertical="center"/>
    </x:xf>
    <x:xf numFmtId="204" fontId="14" fillId="4" borderId="0" xfId="0" applyNumberFormat="1" applyFont="1" applyFill="1" applyBorder="1" applyAlignment="1">
      <x:alignment horizontal="right" vertical="center"/>
    </x:xf>
    <x:xf numFmtId="204" fontId="14" fillId="4" borderId="2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10" fontId="5" fillId="0" borderId="0" xfId="0" applyNumberFormat="1" applyFont="1" applyFill="1" applyBorder="1" applyAlignment="1">
      <x:alignment horizontal="right" vertical="center"/>
    </x:xf>
    <x:xf numFmtId="211" fontId="1" fillId="0" borderId="0" xfId="0" applyNumberFormat="1" applyFont="1" applyFill="1" applyBorder="1" applyAlignment="1">
      <x:alignment horizontal="left" vertical="center"/>
    </x:xf>
    <x:xf numFmtId="210" fontId="1" fillId="0" borderId="0" xfId="0" applyNumberFormat="1" applyFont="1" applyFill="1" applyBorder="1" applyAlignment="1">
      <x:alignment horizontal="right" vertical="center"/>
    </x:xf>
    <x:xf numFmtId="212" fontId="1" fillId="0" borderId="0" xfId="0" applyNumberFormat="1" applyFont="1" applyFill="1" applyBorder="1" applyAlignment="1">
      <x:alignment horizontal="right" vertical="center"/>
    </x:xf>
    <x:xf numFmtId="205" fontId="5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20" fillId="0" borderId="0" xfId="0" applyNumberFormat="1" applyFont="1" applyFill="1" applyBorder="1"/>
    <x:xf numFmtId="213" fontId="20" fillId="0" borderId="0" xfId="0" applyNumberFormat="1" applyFont="1" applyFill="1" applyBorder="1"/>
    <x:xf numFmtId="214" fontId="20" fillId="0" borderId="0" xfId="0" applyNumberFormat="1" applyFont="1" applyFill="1" applyBorder="1"/>
    <x:xf numFmtId="213" fontId="1" fillId="0" borderId="0" xfId="0" applyNumberFormat="1" applyFont="1" applyFill="1" applyBorder="1" applyAlignment="1">
      <x:alignment horizontal="right" vertical="center"/>
    </x:xf>
    <x:xf numFmtId="212" fontId="20" fillId="0" borderId="0" xfId="0" applyNumberFormat="1" applyFont="1" applyFill="1" applyBorder="1"/>
    <x:xf numFmtId="0" fontId="2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horizontal="left" vertical="center"/>
    </x:xf>
    <x:xf numFmtId="200" fontId="4" fillId="6" borderId="0" xfId="0" applyNumberFormat="1" applyFont="1" applyFill="1" applyBorder="1" applyAlignment="1">
      <x:alignment horizontal="right" vertical="center"/>
    </x:xf>
    <x:xf numFmtId="213" fontId="1" fillId="6" borderId="0" xfId="0" applyNumberFormat="1" applyFont="1" applyFill="1" applyBorder="1" applyAlignment="1">
      <x:alignment horizontal="right" vertical="center"/>
    </x:xf>
    <x:xf numFmtId="213" fontId="4" fillId="6" borderId="0" xfId="0" applyNumberFormat="1" applyFont="1" applyFill="1" applyBorder="1" applyAlignment="1">
      <x:alignment horizontal="right" vertical="center"/>
    </x:xf>
    <x:xf numFmtId="213" fontId="5" fillId="0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 vertical="center"/>
    </x:xf>
    <x:xf numFmtId="200" fontId="4" fillId="7" borderId="0" xfId="0" applyNumberFormat="1" applyFont="1" applyFill="1" applyBorder="1" applyAlignment="1">
      <x:alignment horizontal="right" vertical="center"/>
    </x:xf>
    <x:xf numFmtId="213" fontId="4" fillId="7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408e3fdaf4a7a" /><Relationship Type="http://schemas.openxmlformats.org/officeDocument/2006/relationships/theme" Target="/xl/theme/theme1.xml" Id="R2e620665ff8b478d" /><Relationship Type="http://schemas.openxmlformats.org/officeDocument/2006/relationships/sharedStrings" Target="/xl/sharedStrings.xml" Id="R2d3fb11aabed4e2b" /><Relationship Type="http://schemas.openxmlformats.org/officeDocument/2006/relationships/worksheet" Target="/xl/worksheets/sheet1.xml" Id="Rb1c8cbca6e464b3c" /><Relationship Type="http://schemas.openxmlformats.org/officeDocument/2006/relationships/worksheet" Target="/xl/worksheets/sheet2.xml" Id="Ra6e1ac5902c34657" /><Relationship Type="http://schemas.openxmlformats.org/officeDocument/2006/relationships/worksheet" Target="/xl/worksheets/sheet3.xml" Id="Rf332ddc1be3f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34ead76c654ded" /><Relationship Type="http://schemas.openxmlformats.org/officeDocument/2006/relationships/chart" Target="/xl/drawings/charts/chart2.xml" Id="R39b5a0c876844d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forecast ($bn)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556B82"/>
              </a:solidFill>
              <a:prstDash val="solid"/>
            </a:ln>
          </c:spPr>
          <c:marker>
            <c:symbol val="none"/>
          </c:marker>
          <c:cat>
            <c:strRef>
              <c:f>'Valuation'!$D$29:$N$29</c:f>
              <c:strCache>
                <c:ptCount val="0"/>
              </c:strCache>
            </c:strRef>
          </c:cat>
          <c:val>
            <c:numRef>
              <c:f>'Valuation'!$D$30:$N$30</c:f>
              <c:numCache>
                <c:formatCode>$0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triangulation ($bn)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Value ($bn)</c:v>
          </c:tx>
          <c:invertIfNegative val="0"/>
          <c:cat>
            <c:strRef>
              <c:f>'Valuation'!$C$91:$C$99</c:f>
              <c:strCache>
                <c:ptCount val="0"/>
              </c:strCache>
            </c:strRef>
          </c:cat>
          <c:val>
            <c:numRef>
              <c:f>'Valuation'!$D$91:$D$99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34ead76c654ded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b5a0c876844d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0a6ec34ab449ec" /></Relationships>
</file>

<file path=xl/worksheets/sheet1.xml><?xml version="1.0" encoding="utf-8"?>
<x:worksheet xmlns:x="http://schemas.openxmlformats.org/spreadsheetml/2006/main">
  <x:sheetPr>
    <x:tabColor rgb="FF344354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9" hidden="0" customWidth="1"/>
    <x:col min="4" max="4" width="13" hidden="0" customWidth="1"/>
    <x:col min="5" max="5" width="13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3"/>
      <x:c r="B1" s="3"/>
      <x:c r="C1" s="3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3"/>
      <x:c r="B2" s="3"/>
      <x:c r="C2" s="6" t="str">
        <x:v>Anthropic IPO valuation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1" customHeight="1">
      <x:c r="A3" s="3"/>
      <x:c r="B3" s="3"/>
      <x:c r="C3" s="9" t="str">
        <x:v>USD billions. S-1 review: 26 Oct 2026. Valuation date remains assumed 31 Dec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1" customHeight="1">
      <x:c r="A4" s="3"/>
      <x:c r="B4" s="3"/>
      <x:c r="C4" s="7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21" customHeight="1">
      <x:c r="A5" s="3"/>
      <x:c r="B5" s="3"/>
      <x:c r="C5" s="3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23" customHeight="1">
      <x:c r="A6" s="3"/>
      <x:c r="B6" s="3"/>
      <x:c r="C6" s="12" t="str">
        <x:v>Valuation results</x:v>
      </x:c>
      <x:c r="D6" s="13"/>
      <x:c r="E6" s="13"/>
      <x:c r="F6" s="13"/>
      <x:c r="G6" s="13"/>
      <x:c r="H6" s="13"/>
      <x:c r="I6" s="13"/>
      <x:c r="J6" s="5"/>
      <x:c r="K6" s="5"/>
      <x:c r="L6" s="5"/>
      <x:c r="M6" s="5"/>
      <x:c r="N6" s="5"/>
    </x:row>
    <x:row r="7" ht="21" customHeight="1">
      <x:c r="A7" s="3"/>
      <x:c r="B7" s="3"/>
      <x:c r="C7" s="65" t="str">
        <x:v>Revenue-multiple enterprise value</x:v>
      </x:c>
      <x:c r="D7" s="81" t="n">
        <x:f>D23</x:f>
        <x:v>1950</x:v>
      </x:c>
      <x:c r="E7" s="71"/>
      <x:c r="F7" s="82" t="str">
        <x:v>2028 revenue x selected forward multiple.</x:v>
      </x:c>
      <x:c r="G7" s="71"/>
      <x:c r="H7" s="71"/>
      <x:c r="I7" s="71"/>
      <x:c r="J7" s="5"/>
      <x:c r="K7" s="5"/>
      <x:c r="L7" s="5"/>
      <x:c r="M7" s="5"/>
      <x:c r="N7" s="5"/>
    </x:row>
    <x:row r="8" ht="21" customHeight="1">
      <x:c r="A8" s="3"/>
      <x:c r="B8" s="3"/>
      <x:c r="C8" s="65" t="str">
        <x:v>DCF enterprise value</x:v>
      </x:c>
      <x:c r="D8" s="81" t="n">
        <x:f>D57</x:f>
        <x:v>788.5394443995485</x:v>
      </x:c>
      <x:c r="E8" s="71"/>
      <x:c r="F8" s="82" t="str">
        <x:v>2027-2036 cash flows plus perpetual growth.</x:v>
      </x:c>
      <x:c r="G8" s="71"/>
      <x:c r="H8" s="71"/>
      <x:c r="I8" s="71"/>
      <x:c r="J8" s="5"/>
      <x:c r="K8" s="5"/>
      <x:c r="L8" s="5"/>
      <x:c r="M8" s="5"/>
      <x:c r="N8" s="5"/>
    </x:row>
    <x:row r="9" ht="21" customHeight="1">
      <x:c r="A9" s="3"/>
      <x:c r="B9" s="3"/>
      <x:c r="C9" s="65" t="str">
        <x:v>Comparable-company enterprise value</x:v>
      </x:c>
      <x:c r="D9" s="81" t="n">
        <x:f>'Comps'!D62</x:f>
        <x:v>1885.7142857142856</x:v>
      </x:c>
      <x:c r="E9" s="71"/>
      <x:c r="F9" s="82" t="str">
        <x:v>Frontier-lab secondary multiple on exit-2026 ARR. See Comps.</x:v>
      </x:c>
      <x:c r="G9" s="71"/>
      <x:c r="H9" s="71"/>
      <x:c r="I9" s="71"/>
      <x:c r="J9" s="5"/>
      <x:c r="K9" s="5"/>
      <x:c r="L9" s="5"/>
      <x:c r="M9" s="5"/>
      <x:c r="N9" s="5"/>
    </x:row>
    <x:row r="10" ht="21" customHeight="1">
      <x:c r="A10" s="3"/>
      <x:c r="B10" s="3"/>
      <x:c r="C10" s="3" t="str">
        <x:v>IPO investor discussion</x:v>
      </x:c>
      <x:c r="D10" s="55" t="n">
        <x:f>'Inputs'!D15</x:f>
        <x:v>1500</x:v>
      </x:c>
      <x:c r="E10" s="4"/>
      <x:c r="F10" s="26" t="str">
        <x:v>Investor discussion; no priced offering or company valuation guidance.</x:v>
      </x:c>
      <x:c r="G10" s="4"/>
      <x:c r="H10" s="4"/>
      <x:c r="I10" s="4"/>
      <x:c r="J10" s="5"/>
      <x:c r="K10" s="5"/>
      <x:c r="L10" s="5"/>
      <x:c r="M10" s="5"/>
      <x:c r="N10" s="5"/>
    </x:row>
    <x:row r="11" ht="21" customHeight="1">
      <x:c r="A11" s="3"/>
      <x:c r="B11" s="3"/>
      <x:c r="C11" s="21" t="str">
        <x:v>Multiple equity / benchmark - 1</x:v>
      </x:c>
      <x:c r="D11" s="73" t="n">
        <x:f>D25/D10-1</x:f>
        <x:v>0.30000000000000004</x:v>
      </x:c>
      <x:c r="E11" s="4"/>
      <x:c r="F11" s="26" t="str">
        <x:v>Illustrative equity comparison using assumed net cash.</x:v>
      </x:c>
      <x:c r="G11" s="4"/>
      <x:c r="H11" s="4"/>
      <x:c r="I11" s="4"/>
      <x:c r="J11" s="5"/>
      <x:c r="K11" s="5"/>
      <x:c r="L11" s="5"/>
      <x:c r="M11" s="5"/>
      <x:c r="N11" s="5"/>
    </x:row>
    <x:row r="12" ht="21" customHeight="1">
      <x:c r="A12" s="3"/>
      <x:c r="B12" s="3"/>
      <x:c r="C12" s="21" t="str">
        <x:v>DCF equity / benchmark - 1</x:v>
      </x:c>
      <x:c r="D12" s="73" t="n">
        <x:f>IF(ISNUMBER(D58),D58/D10-1,"n.a.")</x:f>
        <x:v>-0.47430703706696764</x:v>
      </x:c>
      <x:c r="E12" s="4"/>
      <x:c r="F12" s="26" t="str">
        <x:v>Gap indicates growth and cash margins required.</x:v>
      </x:c>
      <x:c r="G12" s="4"/>
      <x:c r="H12" s="4"/>
      <x:c r="I12" s="4"/>
      <x:c r="J12" s="5"/>
      <x:c r="K12" s="5"/>
      <x:c r="L12" s="5"/>
      <x:c r="M12" s="5"/>
      <x:c r="N12" s="5"/>
    </x:row>
    <x:row r="13" ht="21" customHeight="1">
      <x:c r="A13" s="3"/>
      <x:c r="B13" s="3"/>
      <x:c r="C13" s="21" t="str">
        <x:v>Comps EV / benchmark - 1</x:v>
      </x:c>
      <x:c r="D13" s="73" t="n">
        <x:f>D9/D10-1</x:f>
        <x:v>0.2571428571428571</x:v>
      </x:c>
      <x:c r="E13" s="4"/>
      <x:c r="F13" s="26" t="str">
        <x:v>Heterogeneous peer references; excluded from Zhipu transaction multiples.</x:v>
      </x:c>
      <x:c r="G13" s="4"/>
      <x:c r="H13" s="4"/>
      <x:c r="I13" s="4"/>
      <x:c r="J13" s="5"/>
      <x:c r="K13" s="5"/>
      <x:c r="L13" s="5"/>
      <x:c r="M13" s="5"/>
      <x:c r="N13" s="5"/>
    </x:row>
    <x:row r="14" ht="21" customHeight="1">
      <x:c r="A14" s="3"/>
      <x:c r="B14" s="3"/>
      <x:c r="C14" s="21" t="str">
        <x:v>Benchmark EV / 2028 revenue</x:v>
      </x:c>
      <x:c r="D14" s="74" t="n">
        <x:f>(D10-D24)/D21</x:f>
        <x:v>7.6923076923076925</x:v>
      </x:c>
      <x:c r="E14" s="4"/>
      <x:c r="F14" s="26" t="str">
        <x:v>Converts equity target using the net cash assumption.</x:v>
      </x:c>
      <x:c r="G14" s="4"/>
      <x:c r="H14" s="4"/>
      <x:c r="I14" s="4"/>
      <x:c r="J14" s="5"/>
      <x:c r="K14" s="5"/>
      <x:c r="L14" s="5"/>
      <x:c r="M14" s="5"/>
      <x:c r="N14" s="5"/>
    </x:row>
    <x:row r="15" ht="21" customHeight="1">
      <x:c r="A15" s="3"/>
      <x:c r="B15" s="3"/>
      <x:c r="C15" s="3" t="str">
        <x:v>Terminal value / DCF enterprise value</x:v>
      </x:c>
      <x:c r="D15" s="38" t="n">
        <x:f>D59</x:f>
        <x:v>0.572424619469425</x:v>
      </x:c>
      <x:c r="E15" s="4"/>
      <x:c r="F15" s="26" t="str">
        <x:v>Measures reliance on cash flows beyond 2036.</x:v>
      </x:c>
      <x:c r="G15" s="4"/>
      <x:c r="H15" s="4"/>
      <x:c r="I15" s="4"/>
      <x:c r="J15" s="5"/>
      <x:c r="K15" s="5"/>
      <x:c r="L15" s="5"/>
      <x:c r="M15" s="5"/>
      <x:c r="N15" s="5"/>
    </x:row>
    <x:row r="16" ht="21" customHeight="1">
      <x:c r="A16" s="3"/>
      <x:c r="B16" s="3"/>
      <x:c r="C16" s="3"/>
      <x:c r="D16" s="5"/>
      <x:c r="E16" s="4"/>
      <x:c r="F16" s="4"/>
      <x:c r="G16" s="4"/>
      <x:c r="H16" s="4"/>
      <x:c r="I16" s="4"/>
      <x:c r="J16" s="5"/>
      <x:c r="K16" s="5"/>
      <x:c r="L16" s="5"/>
      <x:c r="M16" s="5"/>
      <x:c r="N16" s="5"/>
    </x:row>
    <x:row r="17" ht="21" customHeight="1">
      <x:c r="A17" s="3"/>
      <x:c r="B17" s="3"/>
      <x:c r="C17" s="3" t="str">
        <x:v>2028 revenue used</x:v>
      </x:c>
      <x:c r="D17" s="55" t="n">
        <x:f>D21</x:f>
        <x:v>195</x:v>
      </x:c>
      <x:c r="E17" s="4"/>
      <x:c r="F17" s="26" t="str">
        <x:v>Midpoint of a reported company forecast.</x:v>
      </x:c>
      <x:c r="G17" s="4"/>
      <x:c r="H17" s="4"/>
      <x:c r="I17" s="4"/>
      <x:c r="J17" s="5"/>
      <x:c r="K17" s="5"/>
      <x:c r="L17" s="5"/>
      <x:c r="M17" s="5"/>
      <x:c r="N17" s="5"/>
    </x:row>
    <x:row r="18" ht="21" customHeight="1">
      <x:c r="A18" s="3"/>
      <x:c r="B18" s="3"/>
      <x:c r="C18" s="21" t="str">
        <x:v>Selected EV / revenue multiple</x:v>
      </x:c>
      <x:c r="D18" s="74" t="n">
        <x:f>D22</x:f>
        <x:v>10</x:v>
      </x:c>
      <x:c r="E18" s="4"/>
      <x:c r="F18" s="26" t="str">
        <x:v>Editable on Inputs.</x:v>
      </x:c>
      <x:c r="G18" s="4"/>
      <x:c r="H18" s="4"/>
      <x:c r="I18" s="4"/>
      <x:c r="J18" s="5"/>
      <x:c r="K18" s="5"/>
      <x:c r="L18" s="5"/>
      <x:c r="M18" s="5"/>
      <x:c r="N18" s="5"/>
    </x:row>
    <x:row r="19" ht="21" customHeight="1">
      <x:c r="A19" s="3"/>
      <x:c r="B19" s="3"/>
      <x:c r="C19" s="3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 ht="23" customHeight="1">
      <x:c r="A20" s="3"/>
      <x:c r="B20" s="3"/>
      <x:c r="C20" s="12" t="str">
        <x:v>Revenue multiple valuation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 ht="21" customHeight="1">
      <x:c r="A21" s="3"/>
      <x:c r="B21" s="3"/>
      <x:c r="C21" s="3" t="str">
        <x:v>2028 revenue</x:v>
      </x:c>
      <x:c r="D21" s="18" t="n">
        <x:f>F30</x:f>
        <x:v>195</x:v>
      </x:c>
      <x:c r="E21" s="5"/>
      <x:c r="F21" s="5"/>
      <x:c r="G21" s="5"/>
      <x:c r="H21" s="5"/>
      <x:c r="I21" s="5"/>
      <x:c r="J21" s="5"/>
      <x:c r="K21" s="5"/>
      <x:c r="L21" s="5"/>
      <x:c r="M21" s="5"/>
      <x:c r="N21" s="5"/>
    </x:row>
    <x:row r="22" ht="21" customHeight="1">
      <x:c r="A22" s="3"/>
      <x:c r="B22" s="3"/>
      <x:c r="C22" s="21" t="str">
        <x:v>Selected EV / 2028 revenue</x:v>
      </x:c>
      <x:c r="D22" s="84" t="n">
        <x:f>'Inputs'!D10</x:f>
        <x:v>10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 ht="21" customHeight="1">
      <x:c r="A23" s="3"/>
      <x:c r="B23" s="3"/>
      <x:c r="C23" s="3" t="str">
        <x:v>Enterprise value</x:v>
      </x:c>
      <x:c r="D23" s="19" t="n">
        <x:f>D21*D22</x:f>
        <x:v>1950</x:v>
      </x:c>
      <x:c r="E23" s="5"/>
      <x:c r="F23" s="5"/>
      <x:c r="G23" s="5"/>
      <x:c r="H23" s="5"/>
      <x:c r="I23" s="5"/>
      <x:c r="J23" s="5"/>
      <x:c r="K23" s="5"/>
      <x:c r="L23" s="5"/>
      <x:c r="M23" s="5"/>
      <x:c r="N23" s="5"/>
    </x:row>
    <x:row r="24" ht="21" customHeight="1">
      <x:c r="A24" s="3"/>
      <x:c r="B24" s="3"/>
      <x:c r="C24" s="3" t="str">
        <x:v>Add: pre-IPO net cash adjustment</x:v>
      </x:c>
      <x:c r="D24" s="61" t="n">
        <x:f>'Inputs'!D12</x:f>
        <x:v>0</x:v>
      </x:c>
      <x:c r="E24" s="5"/>
      <x:c r="F24" s="5"/>
      <x:c r="G24" s="5"/>
      <x:c r="H24" s="5"/>
      <x:c r="I24" s="5"/>
      <x:c r="J24" s="5"/>
      <x:c r="K24" s="5"/>
      <x:c r="L24" s="5"/>
      <x:c r="M24" s="5"/>
      <x:c r="N24" s="5"/>
    </x:row>
    <x:row r="25" ht="21" customHeight="1">
      <x:c r="A25" s="3"/>
      <x:c r="B25" s="3"/>
      <x:c r="C25" s="65" t="str">
        <x:v>Illustrative pre-IPO equity value</x:v>
      </x:c>
      <x:c r="D25" s="70" t="n">
        <x:f>SUM(D23:D24)</x:f>
        <x:v>1950</x:v>
      </x:c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</x:row>
    <x:row r="26" ht="21" customHeight="1">
      <x:c r="A26" s="3"/>
      <x:c r="B26" s="3"/>
      <x:c r="C26" s="40" t="str">
        <x:v>Forward multiple prices value at the valuation date. Do not discount the revenue-multiple result again.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  <x:row r="27" ht="21" customHeight="1">
      <x:c r="A27" s="3"/>
      <x:c r="B27" s="3"/>
      <x:c r="C27" s="3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</x:row>
    <x:row r="28" ht="23" customHeight="1">
      <x:c r="A28" s="3"/>
      <x:c r="B28" s="3"/>
      <x:c r="C28" s="12" t="str">
        <x:v>DCF forecast at the assumed year-end 2026 valuation date</x:v>
      </x:c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 ht="21" customHeight="1">
      <x:c r="A29" s="3"/>
      <x:c r="B29" s="3"/>
      <x:c r="C29" s="32" t="str">
        <x:v>Calendar year</x:v>
      </x:c>
      <x:c r="D29" s="89" t="n">
        <x:v>2026</x:v>
      </x:c>
      <x:c r="E29" s="89" t="n">
        <x:v>2027</x:v>
      </x:c>
      <x:c r="F29" s="89" t="n">
        <x:v>2028</x:v>
      </x:c>
      <x:c r="G29" s="89" t="n">
        <x:v>2029</x:v>
      </x:c>
      <x:c r="H29" s="89" t="n">
        <x:v>2030</x:v>
      </x:c>
      <x:c r="I29" s="89" t="n">
        <x:v>2031</x:v>
      </x:c>
      <x:c r="J29" s="89" t="n">
        <x:v>2032</x:v>
      </x:c>
      <x:c r="K29" s="89" t="n">
        <x:v>2033</x:v>
      </x:c>
      <x:c r="L29" s="89" t="n">
        <x:v>2034</x:v>
      </x:c>
      <x:c r="M29" s="89" t="n">
        <x:v>2035</x:v>
      </x:c>
      <x:c r="N29" s="89" t="n">
        <x:v>2036</x:v>
      </x:c>
    </x:row>
    <x:row r="30" ht="21" customHeight="1">
      <x:c r="A30" s="3"/>
      <x:c r="B30" s="3"/>
      <x:c r="C30" s="65" t="str">
        <x:v>Revenue</x:v>
      </x:c>
      <x:c r="D30" s="67" t="n">
        <x:f>'Inputs'!D22</x:f>
        <x:v>64</x:v>
      </x:c>
      <x:c r="E30" s="70" t="n">
        <x:f>D30*(1+E31)</x:f>
        <x:v>128</x:v>
      </x:c>
      <x:c r="F30" s="70" t="n">
        <x:f>E30*(1+F31)</x:f>
        <x:v>195</x:v>
      </x:c>
      <x:c r="G30" s="70" t="n">
        <x:f>F30*(1+G31)</x:f>
        <x:v>263.25</x:v>
      </x:c>
      <x:c r="H30" s="70" t="n">
        <x:f>G30*(1+H31)</x:f>
        <x:v>329.0625</x:v>
      </x:c>
      <x:c r="I30" s="70" t="n">
        <x:f>H30*(1+I31)</x:f>
        <x:v>394.875</x:v>
      </x:c>
      <x:c r="J30" s="70" t="n">
        <x:f>I30*(1+J31)</x:f>
        <x:v>454.10625</x:v>
      </x:c>
      <x:c r="K30" s="70" t="n">
        <x:f>J30*(1+K31)</x:f>
        <x:v>499.516875</x:v>
      </x:c>
      <x:c r="L30" s="70" t="n">
        <x:f>K30*(1+L31)</x:f>
        <x:v>534.48305625</x:v>
      </x:c>
      <x:c r="M30" s="70" t="n">
        <x:f>L30*(1+M31)</x:f>
        <x:v>561.2072090625</x:v>
      </x:c>
      <x:c r="N30" s="70" t="n">
        <x:f>M30*(1+N31)</x:f>
        <x:v>578.0434253343751</x:v>
      </x:c>
    </x:row>
    <x:row r="31" ht="21" customHeight="1">
      <x:c r="A31" s="3"/>
      <x:c r="B31" s="3"/>
      <x:c r="C31" s="21" t="str">
        <x:v>Revenue growth</x:v>
      </x:c>
      <x:c r="D31" s="91" t="n">
        <x:f>D30/'Inputs'!D37-1</x:f>
        <x:v>12.95856052344602</x:v>
      </x:c>
      <x:c r="E31" s="91" t="n">
        <x:f>'Inputs'!E23</x:f>
        <x:v>1</x:v>
      </x:c>
      <x:c r="F31" s="91" t="n">
        <x:f>'Inputs'!F23</x:f>
        <x:v>0.5234375</x:v>
      </x:c>
      <x:c r="G31" s="91" t="n">
        <x:f>'Inputs'!G23</x:f>
        <x:v>0.35</x:v>
      </x:c>
      <x:c r="H31" s="91" t="n">
        <x:f>'Inputs'!H23</x:f>
        <x:v>0.25</x:v>
      </x:c>
      <x:c r="I31" s="91" t="n">
        <x:f>'Inputs'!I23</x:f>
        <x:v>0.2</x:v>
      </x:c>
      <x:c r="J31" s="91" t="n">
        <x:f>'Inputs'!J23</x:f>
        <x:v>0.15</x:v>
      </x:c>
      <x:c r="K31" s="91" t="n">
        <x:f>'Inputs'!K23</x:f>
        <x:v>0.1</x:v>
      </x:c>
      <x:c r="L31" s="91" t="n">
        <x:f>'Inputs'!L23</x:f>
        <x:v>0.07</x:v>
      </x:c>
      <x:c r="M31" s="91" t="n">
        <x:f>'Inputs'!M23</x:f>
        <x:v>0.05</x:v>
      </x:c>
      <x:c r="N31" s="91" t="n">
        <x:f>'Inputs'!N23</x:f>
        <x:v>0.03</x:v>
      </x:c>
    </x:row>
    <x:row r="32" ht="21" customHeight="1">
      <x:c r="A32" s="3"/>
      <x:c r="B32" s="3"/>
      <x:c r="C32" s="21" t="str">
        <x:v>EBIT margin</x:v>
      </x:c>
      <x:c r="D32" s="73"/>
      <x:c r="E32" s="91" t="n">
        <x:f>'Inputs'!E24</x:f>
        <x:v>0.1</x:v>
      </x:c>
      <x:c r="F32" s="91" t="n">
        <x:f>'Inputs'!F24</x:f>
        <x:v>0.2</x:v>
      </x:c>
      <x:c r="G32" s="91" t="n">
        <x:f>'Inputs'!G24</x:f>
        <x:v>0.25</x:v>
      </x:c>
      <x:c r="H32" s="91" t="n">
        <x:f>'Inputs'!H24</x:f>
        <x:v>0.3</x:v>
      </x:c>
      <x:c r="I32" s="91" t="n">
        <x:f>'Inputs'!I24</x:f>
        <x:v>0.32</x:v>
      </x:c>
      <x:c r="J32" s="91" t="n">
        <x:f>'Inputs'!J24</x:f>
        <x:v>0.33</x:v>
      </x:c>
      <x:c r="K32" s="91" t="n">
        <x:f>'Inputs'!K24</x:f>
        <x:v>0.34</x:v>
      </x:c>
      <x:c r="L32" s="91" t="n">
        <x:f>'Inputs'!L24</x:f>
        <x:v>0.35</x:v>
      </x:c>
      <x:c r="M32" s="91" t="n">
        <x:f>'Inputs'!M24</x:f>
        <x:v>0.35</x:v>
      </x:c>
      <x:c r="N32" s="91" t="n">
        <x:f>'Inputs'!N24</x:f>
        <x:v>0.35</x:v>
      </x:c>
    </x:row>
    <x:row r="33" ht="21" customHeight="1">
      <x:c r="A33" s="3"/>
      <x:c r="B33" s="3"/>
      <x:c r="C33" s="3" t="str">
        <x:v>EBIT</x:v>
      </x:c>
      <x:c r="D33" s="5"/>
      <x:c r="E33" s="18" t="n">
        <x:f>E30*E32</x:f>
        <x:v>12.8</x:v>
      </x:c>
      <x:c r="F33" s="18" t="n">
        <x:f>F30*F32</x:f>
        <x:v>39</x:v>
      </x:c>
      <x:c r="G33" s="18" t="n">
        <x:f>G30*G32</x:f>
        <x:v>65.8125</x:v>
      </x:c>
      <x:c r="H33" s="18" t="n">
        <x:f>H30*H32</x:f>
        <x:v>98.71875</x:v>
      </x:c>
      <x:c r="I33" s="18" t="n">
        <x:f>I30*I32</x:f>
        <x:v>126.36</x:v>
      </x:c>
      <x:c r="J33" s="18" t="n">
        <x:f>J30*J32</x:f>
        <x:v>149.8550625</x:v>
      </x:c>
      <x:c r="K33" s="18" t="n">
        <x:f>K30*K32</x:f>
        <x:v>169.83573750000002</x:v>
      </x:c>
      <x:c r="L33" s="18" t="n">
        <x:f>L30*L32</x:f>
        <x:v>187.0690696875</x:v>
      </x:c>
      <x:c r="M33" s="18" t="n">
        <x:f>M30*M32</x:f>
        <x:v>196.422523171875</x:v>
      </x:c>
      <x:c r="N33" s="18" t="n">
        <x:f>N30*N32</x:f>
        <x:v>202.31519886703128</x:v>
      </x:c>
    </x:row>
    <x:row r="34" ht="21" customHeight="1">
      <x:c r="A34" s="3"/>
      <x:c r="B34" s="3"/>
      <x:c r="C34" s="3" t="str">
        <x:v>Cash taxes</x:v>
      </x:c>
      <x:c r="D34" s="5"/>
      <x:c r="E34" s="60" t="n">
        <x:f>-MAX(E33,0)*'Inputs'!$D$14</x:f>
        <x:v>-3.2</x:v>
      </x:c>
      <x:c r="F34" s="60" t="n">
        <x:f>-MAX(F33,0)*'Inputs'!$D$14</x:f>
        <x:v>-9.75</x:v>
      </x:c>
      <x:c r="G34" s="60" t="n">
        <x:f>-MAX(G33,0)*'Inputs'!$D$14</x:f>
        <x:v>-16.453125</x:v>
      </x:c>
      <x:c r="H34" s="60" t="n">
        <x:f>-MAX(H33,0)*'Inputs'!$D$14</x:f>
        <x:v>-24.6796875</x:v>
      </x:c>
      <x:c r="I34" s="60" t="n">
        <x:f>-MAX(I33,0)*'Inputs'!$D$14</x:f>
        <x:v>-31.59</x:v>
      </x:c>
      <x:c r="J34" s="60" t="n">
        <x:f>-MAX(J33,0)*'Inputs'!$D$14</x:f>
        <x:v>-37.463765625</x:v>
      </x:c>
      <x:c r="K34" s="60" t="n">
        <x:f>-MAX(K33,0)*'Inputs'!$D$14</x:f>
        <x:v>-42.458934375000005</x:v>
      </x:c>
      <x:c r="L34" s="60" t="n">
        <x:f>-MAX(L33,0)*'Inputs'!$D$14</x:f>
        <x:v>-46.767267421875</x:v>
      </x:c>
      <x:c r="M34" s="60" t="n">
        <x:f>-MAX(M33,0)*'Inputs'!$D$14</x:f>
        <x:v>-49.10563079296875</x:v>
      </x:c>
      <x:c r="N34" s="60" t="n">
        <x:f>-MAX(N33,0)*'Inputs'!$D$14</x:f>
        <x:v>-50.57879971675782</x:v>
      </x:c>
    </x:row>
    <x:row r="35" ht="21" customHeight="1">
      <x:c r="A35" s="3"/>
      <x:c r="B35" s="3"/>
      <x:c r="C35" s="65" t="str">
        <x:v>After-tax operating profit</x:v>
      </x:c>
      <x:c r="D35" s="81"/>
      <x:c r="E35" s="70" t="n">
        <x:f>SUM(E33:E34)</x:f>
        <x:v>9.600000000000001</x:v>
      </x:c>
      <x:c r="F35" s="70" t="n">
        <x:f>SUM(F33:F34)</x:f>
        <x:v>29.25</x:v>
      </x:c>
      <x:c r="G35" s="70" t="n">
        <x:f>SUM(G33:G34)</x:f>
        <x:v>49.359375</x:v>
      </x:c>
      <x:c r="H35" s="70" t="n">
        <x:f>SUM(H33:H34)</x:f>
        <x:v>74.0390625</x:v>
      </x:c>
      <x:c r="I35" s="70" t="n">
        <x:f>SUM(I33:I34)</x:f>
        <x:v>94.77</x:v>
      </x:c>
      <x:c r="J35" s="70" t="n">
        <x:f>SUM(J33:J34)</x:f>
        <x:v>112.391296875</x:v>
      </x:c>
      <x:c r="K35" s="70" t="n">
        <x:f>SUM(K33:K34)</x:f>
        <x:v>127.37680312500001</x:v>
      </x:c>
      <x:c r="L35" s="70" t="n">
        <x:f>SUM(L33:L34)</x:f>
        <x:v>140.30180226562499</x:v>
      </x:c>
      <x:c r="M35" s="70" t="n">
        <x:f>SUM(M33:M34)</x:f>
        <x:v>147.31689237890626</x:v>
      </x:c>
      <x:c r="N35" s="70" t="n">
        <x:f>SUM(N33:N34)</x:f>
        <x:v>151.73639915027346</x:v>
      </x:c>
    </x:row>
    <x:row r="36" ht="21" customHeight="1">
      <x:c r="A36" s="3"/>
      <x:c r="B36" s="3"/>
      <x:c r="C36" s="3" t="str">
        <x:v>Add: depreciation &amp; amortization</x:v>
      </x:c>
      <x:c r="D36" s="5"/>
      <x:c r="E36" s="60" t="n">
        <x:f>E30*'Inputs'!E25</x:f>
        <x:v>3.84</x:v>
      </x:c>
      <x:c r="F36" s="60" t="n">
        <x:f>F30*'Inputs'!F25</x:f>
        <x:v>5.85</x:v>
      </x:c>
      <x:c r="G36" s="60" t="n">
        <x:f>G30*'Inputs'!G25</x:f>
        <x:v>7.8975</x:v>
      </x:c>
      <x:c r="H36" s="60" t="n">
        <x:f>H30*'Inputs'!H25</x:f>
        <x:v>9.871875</x:v>
      </x:c>
      <x:c r="I36" s="60" t="n">
        <x:f>I30*'Inputs'!I25</x:f>
        <x:v>11.84625</x:v>
      </x:c>
      <x:c r="J36" s="60" t="n">
        <x:f>J30*'Inputs'!J25</x:f>
        <x:v>13.623187499999998</x:v>
      </x:c>
      <x:c r="K36" s="60" t="n">
        <x:f>K30*'Inputs'!K25</x:f>
        <x:v>14.98550625</x:v>
      </x:c>
      <x:c r="L36" s="60" t="n">
        <x:f>L30*'Inputs'!L25</x:f>
        <x:v>16.0344916875</x:v>
      </x:c>
      <x:c r="M36" s="60" t="n">
        <x:f>M30*'Inputs'!M25</x:f>
        <x:v>16.836216271875003</x:v>
      </x:c>
      <x:c r="N36" s="60" t="n">
        <x:f>N30*'Inputs'!N25</x:f>
        <x:v>17.34130276003125</x:v>
      </x:c>
    </x:row>
    <x:row r="37" ht="21" customHeight="1">
      <x:c r="A37" s="3"/>
      <x:c r="B37" s="3"/>
      <x:c r="C37" s="3" t="str">
        <x:v>Less: cash capital expenditure</x:v>
      </x:c>
      <x:c r="D37" s="5"/>
      <x:c r="E37" s="60" t="n">
        <x:f>-E30*'Inputs'!E26</x:f>
        <x:v>-10.24</x:v>
      </x:c>
      <x:c r="F37" s="60" t="n">
        <x:f>-F30*'Inputs'!F26</x:f>
        <x:v>-15.6</x:v>
      </x:c>
      <x:c r="G37" s="60" t="n">
        <x:f>-G30*'Inputs'!G26</x:f>
        <x:v>-21.06</x:v>
      </x:c>
      <x:c r="H37" s="60" t="n">
        <x:f>-H30*'Inputs'!H26</x:f>
        <x:v>-26.325</x:v>
      </x:c>
      <x:c r="I37" s="60" t="n">
        <x:f>-I30*'Inputs'!I26</x:f>
        <x:v>-31.59</x:v>
      </x:c>
      <x:c r="J37" s="60" t="n">
        <x:f>-J30*'Inputs'!J26</x:f>
        <x:v>-36.3285</x:v>
      </x:c>
      <x:c r="K37" s="60" t="n">
        <x:f>-K30*'Inputs'!K26</x:f>
        <x:v>-39.96135</x:v>
      </x:c>
      <x:c r="L37" s="60" t="n">
        <x:f>-L30*'Inputs'!L26</x:f>
        <x:v>-42.7586445</x:v>
      </x:c>
      <x:c r="M37" s="60" t="n">
        <x:f>-M30*'Inputs'!M26</x:f>
        <x:v>-44.896576725</x:v>
      </x:c>
      <x:c r="N37" s="60" t="n">
        <x:f>-N30*'Inputs'!N26</x:f>
        <x:v>-46.24347402675001</x:v>
      </x:c>
    </x:row>
    <x:row r="38" ht="21" customHeight="1">
      <x:c r="A38" s="3"/>
      <x:c r="B38" s="3"/>
      <x:c r="C38" s="3" t="str">
        <x:v>Operating working capital balance</x:v>
      </x:c>
      <x:c r="D38" s="60" t="n">
        <x:f>D30*'Inputs'!D27</x:f>
        <x:v>1.28</x:v>
      </x:c>
      <x:c r="E38" s="60" t="n">
        <x:f>E30*'Inputs'!E27</x:f>
        <x:v>2.56</x:v>
      </x:c>
      <x:c r="F38" s="60" t="n">
        <x:f>F30*'Inputs'!F27</x:f>
        <x:v>3.9</x:v>
      </x:c>
      <x:c r="G38" s="60" t="n">
        <x:f>G30*'Inputs'!G27</x:f>
        <x:v>5.265</x:v>
      </x:c>
      <x:c r="H38" s="60" t="n">
        <x:f>H30*'Inputs'!H27</x:f>
        <x:v>6.58125</x:v>
      </x:c>
      <x:c r="I38" s="60" t="n">
        <x:f>I30*'Inputs'!I27</x:f>
        <x:v>7.8975</x:v>
      </x:c>
      <x:c r="J38" s="60" t="n">
        <x:f>J30*'Inputs'!J27</x:f>
        <x:v>9.082125</x:v>
      </x:c>
      <x:c r="K38" s="60" t="n">
        <x:f>K30*'Inputs'!K27</x:f>
        <x:v>9.9903375</x:v>
      </x:c>
      <x:c r="L38" s="60" t="n">
        <x:f>L30*'Inputs'!L27</x:f>
        <x:v>10.689661125</x:v>
      </x:c>
      <x:c r="M38" s="60" t="n">
        <x:f>M30*'Inputs'!M27</x:f>
        <x:v>11.22414418125</x:v>
      </x:c>
      <x:c r="N38" s="60" t="n">
        <x:f>N30*'Inputs'!N27</x:f>
        <x:v>11.560868506687502</x:v>
      </x:c>
    </x:row>
    <x:row r="39" ht="21" customHeight="1">
      <x:c r="A39" s="3"/>
      <x:c r="B39" s="3"/>
      <x:c r="C39" s="3" t="str">
        <x:v>Less: increase in working capital</x:v>
      </x:c>
      <x:c r="D39" s="5"/>
      <x:c r="E39" s="18" t="n">
        <x:f>-(E38-D38)</x:f>
        <x:v>-1.28</x:v>
      </x:c>
      <x:c r="F39" s="18" t="n">
        <x:f>-(F38-E38)</x:f>
        <x:v>-1.3399999999999999</x:v>
      </x:c>
      <x:c r="G39" s="18" t="n">
        <x:f>-(G38-F38)</x:f>
        <x:v>-1.3649999999999998</x:v>
      </x:c>
      <x:c r="H39" s="18" t="n">
        <x:f>-(H38-G38)</x:f>
        <x:v>-1.3162500000000001</x:v>
      </x:c>
      <x:c r="I39" s="18" t="n">
        <x:f>-(I38-H38)</x:f>
        <x:v>-1.3162500000000001</x:v>
      </x:c>
      <x:c r="J39" s="18" t="n">
        <x:f>-(J38-I38)</x:f>
        <x:v>-1.1846249999999996</x:v>
      </x:c>
      <x:c r="K39" s="18" t="n">
        <x:f>-(K38-J38)</x:f>
        <x:v>-0.9082125000000012</x:v>
      </x:c>
      <x:c r="L39" s="18" t="n">
        <x:f>-(L38-K38)</x:f>
        <x:v>-0.6993236249999999</x:v>
      </x:c>
      <x:c r="M39" s="18" t="n">
        <x:f>-(M38-L38)</x:f>
        <x:v>-0.53448305625</x:v>
      </x:c>
      <x:c r="N39" s="18" t="n">
        <x:f>-(N38-M38)</x:f>
        <x:v>-0.3367243254375012</x:v>
      </x:c>
    </x:row>
    <x:row r="40" ht="21" customHeight="1">
      <x:c r="A40" s="3"/>
      <x:c r="B40" s="3"/>
      <x:c r="C40" s="65" t="str">
        <x:v>Unlevered free cash flow</x:v>
      </x:c>
      <x:c r="D40" s="81"/>
      <x:c r="E40" s="70" t="n">
        <x:f>SUM(E35:E37,E39)</x:f>
        <x:v>1.920000000000001</x:v>
      </x:c>
      <x:c r="F40" s="70" t="n">
        <x:f>SUM(F35:F37,F39)</x:f>
        <x:v>18.16</x:v>
      </x:c>
      <x:c r="G40" s="70" t="n">
        <x:f>SUM(G35:G37,G39)</x:f>
        <x:v>34.831875000000004</x:v>
      </x:c>
      <x:c r="H40" s="70" t="n">
        <x:f>SUM(H35:H37,H39)</x:f>
        <x:v>56.2696875</x:v>
      </x:c>
      <x:c r="I40" s="70" t="n">
        <x:f>SUM(I35:I37,I39)</x:f>
        <x:v>73.71</x:v>
      </x:c>
      <x:c r="J40" s="70" t="n">
        <x:f>SUM(J35:J37,J39)</x:f>
        <x:v>88.501359375</x:v>
      </x:c>
      <x:c r="K40" s="70" t="n">
        <x:f>SUM(K35:K37,K39)</x:f>
        <x:v>101.49274687499998</x:v>
      </x:c>
      <x:c r="L40" s="70" t="n">
        <x:f>SUM(L35:L37,L39)</x:f>
        <x:v>112.87832582812499</x:v>
      </x:c>
      <x:c r="M40" s="70" t="n">
        <x:f>SUM(M35:M37,M39)</x:f>
        <x:v>118.72204886953126</x:v>
      </x:c>
      <x:c r="N40" s="70" t="n">
        <x:f>SUM(N35:N37,N39)</x:f>
        <x:v>122.4975035581172</x:v>
      </x:c>
    </x:row>
    <x:row r="41" ht="21" customHeight="1">
      <x:c r="A41" s="3"/>
      <x:c r="B41" s="3"/>
      <x:c r="C41" s="3" t="str">
        <x:v>Years from valuation date</x:v>
      </x:c>
      <x:c r="D41" s="5"/>
      <x:c r="E41" s="95" t="n">
        <x:f>E$29-YEAR('Inputs'!$D$7)</x:f>
        <x:v>1</x:v>
      </x:c>
      <x:c r="F41" s="95" t="n">
        <x:f>F$29-YEAR('Inputs'!$D$7)</x:f>
        <x:v>2</x:v>
      </x:c>
      <x:c r="G41" s="95" t="n">
        <x:f>G$29-YEAR('Inputs'!$D$7)</x:f>
        <x:v>3</x:v>
      </x:c>
      <x:c r="H41" s="95" t="n">
        <x:f>H$29-YEAR('Inputs'!$D$7)</x:f>
        <x:v>4</x:v>
      </x:c>
      <x:c r="I41" s="95" t="n">
        <x:f>I$29-YEAR('Inputs'!$D$7)</x:f>
        <x:v>5</x:v>
      </x:c>
      <x:c r="J41" s="95" t="n">
        <x:f>J$29-YEAR('Inputs'!$D$7)</x:f>
        <x:v>6</x:v>
      </x:c>
      <x:c r="K41" s="95" t="n">
        <x:f>K$29-YEAR('Inputs'!$D$7)</x:f>
        <x:v>7</x:v>
      </x:c>
      <x:c r="L41" s="95" t="n">
        <x:f>L$29-YEAR('Inputs'!$D$7)</x:f>
        <x:v>8</x:v>
      </x:c>
      <x:c r="M41" s="95" t="n">
        <x:f>M$29-YEAR('Inputs'!$D$7)</x:f>
        <x:v>9</x:v>
      </x:c>
      <x:c r="N41" s="95" t="n">
        <x:f>N$29-YEAR('Inputs'!$D$7)</x:f>
        <x:v>10</x:v>
      </x:c>
    </x:row>
    <x:row r="42" ht="21" customHeight="1">
      <x:c r="A42" s="3"/>
      <x:c r="B42" s="3"/>
      <x:c r="C42" s="21" t="str">
        <x:v>Discount factor</x:v>
      </x:c>
      <x:c r="D42" s="93"/>
      <x:c r="E42" s="94" t="n">
        <x:f>(1+'Inputs'!$D$11)^(-E41)</x:f>
        <x:v>0.8928571428571428</x:v>
      </x:c>
      <x:c r="F42" s="94" t="n">
        <x:f>(1+'Inputs'!$D$11)^(-F41)</x:f>
        <x:v>0.7971938775510202</x:v>
      </x:c>
      <x:c r="G42" s="94" t="n">
        <x:f>(1+'Inputs'!$D$11)^(-G41)</x:f>
        <x:v>0.7117802478134109</x:v>
      </x:c>
      <x:c r="H42" s="94" t="n">
        <x:f>(1+'Inputs'!$D$11)^(-H41)</x:f>
        <x:v>0.6355180784048311</x:v>
      </x:c>
      <x:c r="I42" s="94" t="n">
        <x:f>(1+'Inputs'!$D$11)^(-I41)</x:f>
        <x:v>0.5674268557185991</x:v>
      </x:c>
      <x:c r="J42" s="94" t="n">
        <x:f>(1+'Inputs'!$D$11)^(-J41)</x:f>
        <x:v>0.5066311211773206</x:v>
      </x:c>
      <x:c r="K42" s="94" t="n">
        <x:f>(1+'Inputs'!$D$11)^(-K41)</x:f>
        <x:v>0.4523492153368934</x:v>
      </x:c>
      <x:c r="L42" s="94" t="n">
        <x:f>(1+'Inputs'!$D$11)^(-L41)</x:f>
        <x:v>0.40388322797936904</x:v>
      </x:c>
      <x:c r="M42" s="94" t="n">
        <x:f>(1+'Inputs'!$D$11)^(-M41)</x:f>
        <x:v>0.36061002498157946</x:v>
      </x:c>
      <x:c r="N42" s="94" t="n">
        <x:f>(1+'Inputs'!$D$11)^(-N41)</x:f>
        <x:v>0.32197323659069593</x:v>
      </x:c>
    </x:row>
    <x:row r="43" ht="21" customHeight="1">
      <x:c r="A43" s="3"/>
      <x:c r="B43" s="3"/>
      <x:c r="C43" s="65" t="str">
        <x:v>Present value of free cash flow</x:v>
      </x:c>
      <x:c r="D43" s="81"/>
      <x:c r="E43" s="70" t="n">
        <x:f>E40*E42</x:f>
        <x:v>1.714285714285715</x:v>
      </x:c>
      <x:c r="F43" s="70" t="n">
        <x:f>F40*F42</x:f>
        <x:v>14.477040816326527</x:v>
      </x:c>
      <x:c r="G43" s="70" t="n">
        <x:f>G40*G42</x:f>
        <x:v>24.792640619305754</x:v>
      </x:c>
      <x:c r="H43" s="70" t="n">
        <x:f>H40*H42</x:f>
        <x:v>35.76040367244035</x:v>
      </x:c>
      <x:c r="I43" s="70" t="n">
        <x:f>I40*I42</x:f>
        <x:v>41.82503353501794</x:v>
      </x:c>
      <x:c r="J43" s="70" t="n">
        <x:f>J40*J42</x:f>
        <x:v>44.83754292587322</x:v>
      </x:c>
      <x:c r="K43" s="70" t="n">
        <x:f>K40*K42</x:f>
        <x:v>45.91016441129218</x:v>
      </x:c>
      <x:c r="L43" s="70" t="n">
        <x:f>L40*L42</x:f>
        <x:v>45.589662604370105</x:v>
      </x:c>
      <x:c r="M43" s="70" t="n">
        <x:f>M40*M42</x:f>
        <x:v>42.81236100870596</x:v>
      </x:c>
      <x:c r="N43" s="70" t="n">
        <x:f>N40*N42</x:f>
        <x:v>39.44091769488729</x:v>
      </x:c>
    </x:row>
    <x:row r="44" ht="21" customHeight="1">
      <x:c r="A44" s="3"/>
      <x:c r="B44" s="3"/>
      <x:c r="C44" s="3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</x:row>
    <x:row r="45" ht="23" customHeight="1">
      <x:c r="A45" s="3"/>
      <x:c r="B45" s="3"/>
      <x:c r="C45" s="12" t="str">
        <x:v>Terminal value and DCF calculation</x:v>
      </x:c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 ht="21" customHeight="1">
      <x:c r="A46" s="3"/>
      <x:c r="B46" s="3"/>
      <x:c r="C46" s="3" t="str">
        <x:v>2037 terminal revenue</x:v>
      </x:c>
      <x:c r="D46" s="61" t="n">
        <x:f>N30*(1+'Inputs'!D13)</x:f>
        <x:v>595.3847280944063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 ht="21" customHeight="1">
      <x:c r="A47" s="3"/>
      <x:c r="B47" s="3"/>
      <x:c r="C47" s="3" t="str">
        <x:v>Terminal EBIT</x:v>
      </x:c>
      <x:c r="D47" s="19" t="n">
        <x:f>D46*N32</x:f>
        <x:v>208.38465483304222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 ht="21" customHeight="1">
      <x:c r="A48" s="3"/>
      <x:c r="B48" s="3"/>
      <x:c r="C48" s="3" t="str">
        <x:v>Terminal cash taxes</x:v>
      </x:c>
      <x:c r="D48" s="61" t="n">
        <x:f>-MAX(D47,0)*'Inputs'!D14</x:f>
        <x:v>-52.096163708260555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 ht="21" customHeight="1">
      <x:c r="A49" s="3"/>
      <x:c r="B49" s="3"/>
      <x:c r="C49" s="3" t="str">
        <x:v>Terminal after-tax operating profit</x:v>
      </x:c>
      <x:c r="D49" s="19" t="n">
        <x:f>SUM(D47:D48)</x:f>
        <x:v>156.28849112478167</x:v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 ht="21" customHeight="1">
      <x:c r="A50" s="3"/>
      <x:c r="B50" s="3"/>
      <x:c r="C50" s="3" t="str">
        <x:v>Terminal D&amp;A</x:v>
      </x:c>
      <x:c r="D50" s="61" t="n">
        <x:f>D46*'Inputs'!N25</x:f>
        <x:v>17.86154184283219</x:v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 ht="21" customHeight="1">
      <x:c r="A51" s="3"/>
      <x:c r="B51" s="3"/>
      <x:c r="C51" s="3" t="str">
        <x:v>Terminal cash capex</x:v>
      </x:c>
      <x:c r="D51" s="61" t="n">
        <x:f>-D46*'Inputs'!N26</x:f>
        <x:v>-47.630778247552506</x:v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 ht="21" customHeight="1">
      <x:c r="A52" s="3"/>
      <x:c r="B52" s="3"/>
      <x:c r="C52" s="3" t="str">
        <x:v>Terminal change in working capital</x:v>
      </x:c>
      <x:c r="D52" s="61" t="n">
        <x:f>-(D46-N30)*'Inputs'!N27</x:f>
        <x:v>-0.34682605520062454</x:v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 ht="21" customHeight="1">
      <x:c r="A53" s="3"/>
      <x:c r="B53" s="3"/>
      <x:c r="C53" s="3" t="str">
        <x:v>Terminal unlevered free cash flow</x:v>
      </x:c>
      <x:c r="D53" s="19" t="n">
        <x:f>SUM(D49:D52)</x:f>
        <x:v>126.17242866486073</x:v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 ht="21" customHeight="1">
      <x:c r="A54" s="3"/>
      <x:c r="B54" s="3"/>
      <x:c r="C54" s="3" t="str">
        <x:v>Terminal enterprise value</x:v>
      </x:c>
      <x:c r="D54" s="61" t="n">
        <x:f>IF('Inputs'!D11&gt;'Inputs'!D13,D53/('Inputs'!D11-'Inputs'!D13),"n.a.")</x:f>
        <x:v>1401.915874054008</x:v>
      </x:c>
      <x:c r="E54" s="4"/>
      <x:c r="F54" s="26" t="str">
        <x:v>Terminal FCF / (WACC - growth). Returns n.a. if WACC &lt;= growth.</x:v>
      </x:c>
      <x:c r="G54" s="4"/>
      <x:c r="H54" s="4"/>
      <x:c r="I54" s="4"/>
      <x:c r="J54" s="4"/>
      <x:c r="K54" s="4"/>
      <x:c r="L54" s="4"/>
      <x:c r="M54" s="4"/>
      <x:c r="N54" s="4"/>
    </x:row>
    <x:row r="55" ht="21" customHeight="1">
      <x:c r="A55" s="3"/>
      <x:c r="B55" s="3"/>
      <x:c r="C55" s="3" t="str">
        <x:v>Present value of terminal value</x:v>
      </x:c>
      <x:c r="D55" s="19" t="n">
        <x:f>IF(ISNUMBER(D54),D54*N42,"n.a.")</x:f>
        <x:v>451.37939139704343</x:v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 ht="21" customHeight="1">
      <x:c r="A56" s="3"/>
      <x:c r="B56" s="3"/>
      <x:c r="C56" s="3" t="str">
        <x:v>PV of 2027-2036 free cash flow</x:v>
      </x:c>
      <x:c r="D56" s="19" t="n">
        <x:f>SUM(E43:N43)</x:f>
        <x:v>337.16005300250504</x:v>
      </x:c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 ht="21" customHeight="1">
      <x:c r="A57" s="3"/>
      <x:c r="B57" s="3"/>
      <x:c r="C57" s="65" t="str">
        <x:v>DCF enterprise value</x:v>
      </x:c>
      <x:c r="D57" s="70" t="n">
        <x:f>IF(ISNUMBER(D55),SUM(D55:D56),"n.a.")</x:f>
        <x:v>788.5394443995485</x:v>
      </x:c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</x:row>
    <x:row r="58" ht="21" customHeight="1">
      <x:c r="A58" s="3"/>
      <x:c r="B58" s="3"/>
      <x:c r="C58" s="65" t="str">
        <x:v>Illustrative DCF equity value</x:v>
      </x:c>
      <x:c r="D58" s="70" t="n">
        <x:f>IF(ISNUMBER(D57),D57+D24,"n.a.")</x:f>
        <x:v>788.5394443995485</x:v>
      </x:c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</x:row>
    <x:row r="59" ht="21" customHeight="1">
      <x:c r="A59" s="3"/>
      <x:c r="B59" s="3"/>
      <x:c r="C59" s="21" t="str">
        <x:v>Terminal value / enterprise value</x:v>
      </x:c>
      <x:c r="D59" s="98" t="n">
        <x:f>IF(ISNUMBER(D57),D55/D57,"n.a.")</x:f>
        <x:v>0.572424619469425</x:v>
      </x:c>
      <x:c r="E59" s="4"/>
      <x:c r="F59" s="26" t="str">
        <x:v>Terminal-year investment ratios and margins equal 2036 assumptions.</x:v>
      </x:c>
      <x:c r="G59" s="4"/>
      <x:c r="H59" s="4"/>
      <x:c r="I59" s="4"/>
      <x:c r="J59" s="4"/>
      <x:c r="K59" s="4"/>
      <x:c r="L59" s="4"/>
      <x:c r="M59" s="4"/>
      <x:c r="N59" s="4"/>
    </x:row>
    <x:row r="60" ht="21" customHeight="1">
      <x:c r="A60" s="3"/>
      <x:c r="B60" s="3"/>
      <x:c r="C60" s="3" t="str">
        <x:v>Terminal FCF needed for benchmark</x:v>
      </x:c>
      <x:c r="D60" s="61" t="n">
        <x:f>IF('Inputs'!D11&gt;'Inputs'!D13,(D10-D24-D56)/N42*('Inputs'!D11-'Inputs'!D13),"n.a.")</x:f>
        <x:v>325.0443929375923</x:v>
      </x:c>
      <x:c r="E60" s="4"/>
      <x:c r="F60" s="26" t="str">
        <x:v>Holds the explicit forecast, investment ratios and discount rate constant.</x:v>
      </x:c>
      <x:c r="G60" s="4"/>
      <x:c r="H60" s="4"/>
      <x:c r="I60" s="4"/>
      <x:c r="J60" s="4"/>
      <x:c r="K60" s="4"/>
      <x:c r="L60" s="4"/>
      <x:c r="M60" s="4"/>
      <x:c r="N60" s="4"/>
    </x:row>
    <x:row r="61" ht="21" customHeight="1">
      <x:c r="A61" s="3"/>
      <x:c r="B61" s="3"/>
      <x:c r="C61" s="21" t="str">
        <x:v>Terminal EBIT margin needed</x:v>
      </x:c>
      <x:c r="D61" s="91" t="n">
        <x:f>IF(ISNUMBER(D60),(D60-SUM(D50:D52))/D46/(1-'Inputs'!D14),"n.a.")</x:f>
        <x:v>0.7953634877048167</x:v>
      </x:c>
      <x:c r="E61" s="4"/>
      <x:c r="F61" s="26" t="str">
        <x:v>Required perpetual EBIT margin to support the benchmark equity target.</x:v>
      </x:c>
      <x:c r="G61" s="4"/>
      <x:c r="H61" s="4"/>
      <x:c r="I61" s="4"/>
      <x:c r="J61" s="4"/>
      <x:c r="K61" s="4"/>
      <x:c r="L61" s="4"/>
      <x:c r="M61" s="4"/>
      <x:c r="N61" s="4"/>
    </x:row>
    <x:row r="62" ht="21" customHeight="1">
      <x:c r="A62" s="3"/>
      <x:c r="B62" s="3"/>
      <x:c r="C62" s="3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</x:row>
    <x:row r="63" ht="21" customHeight="1">
      <x:c r="A63" s="3"/>
      <x:c r="B63" s="3"/>
      <x:c r="C63" s="9" t="str">
        <x:v>Growth, compute efficiency and future financing are the main valuation risks. Revenue multiples do not prove cash returns.</x:v>
      </x:c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</x:row>
    <x:row r="64" ht="21" customHeight="1">
      <x:c r="A64" s="3"/>
      <x:c r="B64" s="3"/>
      <x:c r="C64" s="3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</x:row>
    <x:row r="65" ht="23" customHeight="1">
      <x:c r="A65" s="3"/>
      <x:c r="B65" s="3"/>
      <x:c r="C65" s="12" t="str">
        <x:v>Enterprise value sensitivity ($bn)</x:v>
      </x:c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</x:row>
    <x:row r="66" ht="21" customHeight="1">
      <x:c r="A66" s="3"/>
      <x:c r="B66" s="3"/>
      <x:c r="C66" s="32" t="str">
        <x:v>2028 revenue / EV multiple</x:v>
      </x:c>
      <x:c r="D66" s="102" t="n">
        <x:v>6</x:v>
      </x:c>
      <x:c r="E66" s="102" t="n">
        <x:v>8</x:v>
      </x:c>
      <x:c r="F66" s="102" t="n">
        <x:v>10</x:v>
      </x:c>
      <x:c r="G66" s="102" t="n">
        <x:v>12</x:v>
      </x:c>
      <x:c r="H66" s="102" t="n">
        <x:v>14</x:v>
      </x:c>
      <x:c r="I66" s="102" t="n">
        <x:v>16</x:v>
      </x:c>
      <x:c r="J66" s="5"/>
      <x:c r="K66" s="5"/>
      <x:c r="L66" s="5"/>
      <x:c r="M66" s="5"/>
      <x:c r="N66" s="5"/>
    </x:row>
    <x:row r="67" ht="21" customHeight="1">
      <x:c r="A67" s="3"/>
      <x:c r="B67" s="3"/>
      <x:c r="C67" s="110" t="n">
        <x:v>120</x:v>
      </x:c>
      <x:c r="D67" s="19" t="n">
        <x:f>$C67*D$66</x:f>
        <x:v>720</x:v>
      </x:c>
      <x:c r="E67" s="19" t="n">
        <x:f>$C67*E$66</x:f>
        <x:v>960</x:v>
      </x:c>
      <x:c r="F67" s="19" t="n">
        <x:f>$C67*F$66</x:f>
        <x:v>1200</x:v>
      </x:c>
      <x:c r="G67" s="19" t="n">
        <x:f>$C67*G$66</x:f>
        <x:v>1440</x:v>
      </x:c>
      <x:c r="H67" s="19" t="n">
        <x:f>$C67*H$66</x:f>
        <x:v>1680</x:v>
      </x:c>
      <x:c r="I67" s="19" t="n">
        <x:f>$C67*I$66</x:f>
        <x:v>1920</x:v>
      </x:c>
      <x:c r="J67" s="5"/>
      <x:c r="K67" s="5"/>
      <x:c r="L67" s="5"/>
      <x:c r="M67" s="5"/>
      <x:c r="N67" s="5"/>
    </x:row>
    <x:row r="68" ht="21" customHeight="1">
      <x:c r="A68" s="3"/>
      <x:c r="B68" s="3"/>
      <x:c r="C68" s="110" t="n">
        <x:v>160</x:v>
      </x:c>
      <x:c r="D68" s="19" t="n">
        <x:f>$C68*D$66</x:f>
        <x:v>960</x:v>
      </x:c>
      <x:c r="E68" s="19" t="n">
        <x:f>$C68*E$66</x:f>
        <x:v>1280</x:v>
      </x:c>
      <x:c r="F68" s="19" t="n">
        <x:f>$C68*F$66</x:f>
        <x:v>1600</x:v>
      </x:c>
      <x:c r="G68" s="19" t="n">
        <x:f>$C68*G$66</x:f>
        <x:v>1920</x:v>
      </x:c>
      <x:c r="H68" s="19" t="n">
        <x:f>$C68*H$66</x:f>
        <x:v>2240</x:v>
      </x:c>
      <x:c r="I68" s="19" t="n">
        <x:f>$C68*I$66</x:f>
        <x:v>2560</x:v>
      </x:c>
      <x:c r="J68" s="5"/>
      <x:c r="K68" s="5"/>
      <x:c r="L68" s="5"/>
      <x:c r="M68" s="5"/>
      <x:c r="N68" s="5"/>
    </x:row>
    <x:row r="69" ht="21" customHeight="1">
      <x:c r="A69" s="3"/>
      <x:c r="B69" s="3"/>
      <x:c r="C69" s="111" t="n">
        <x:f>D21</x:f>
        <x:v>195</x:v>
      </x:c>
      <x:c r="D69" s="19" t="n">
        <x:f>$C69*D$66</x:f>
        <x:v>1170</x:v>
      </x:c>
      <x:c r="E69" s="19" t="n">
        <x:f>$C69*E$66</x:f>
        <x:v>1560</x:v>
      </x:c>
      <x:c r="F69" s="19" t="n">
        <x:f>$C69*F$66</x:f>
        <x:v>1950</x:v>
      </x:c>
      <x:c r="G69" s="19" t="n">
        <x:f>$C69*G$66</x:f>
        <x:v>2340</x:v>
      </x:c>
      <x:c r="H69" s="19" t="n">
        <x:f>$C69*H$66</x:f>
        <x:v>2730</x:v>
      </x:c>
      <x:c r="I69" s="19" t="n">
        <x:f>$C69*I$66</x:f>
        <x:v>3120</x:v>
      </x:c>
      <x:c r="J69" s="5"/>
      <x:c r="K69" s="5"/>
      <x:c r="L69" s="5"/>
      <x:c r="M69" s="5"/>
      <x:c r="N69" s="5"/>
    </x:row>
    <x:row r="70" ht="21" customHeight="1">
      <x:c r="A70" s="3"/>
      <x:c r="B70" s="3"/>
      <x:c r="C70" s="110" t="n">
        <x:v>240</x:v>
      </x:c>
      <x:c r="D70" s="19" t="n">
        <x:f>$C70*D$66</x:f>
        <x:v>1440</x:v>
      </x:c>
      <x:c r="E70" s="19" t="n">
        <x:f>$C70*E$66</x:f>
        <x:v>1920</x:v>
      </x:c>
      <x:c r="F70" s="19" t="n">
        <x:f>$C70*F$66</x:f>
        <x:v>2400</x:v>
      </x:c>
      <x:c r="G70" s="19" t="n">
        <x:f>$C70*G$66</x:f>
        <x:v>2880</x:v>
      </x:c>
      <x:c r="H70" s="19" t="n">
        <x:f>$C70*H$66</x:f>
        <x:v>3360</x:v>
      </x:c>
      <x:c r="I70" s="19" t="n">
        <x:f>$C70*I$66</x:f>
        <x:v>3840</x:v>
      </x:c>
      <x:c r="J70" s="5"/>
      <x:c r="K70" s="5"/>
      <x:c r="L70" s="5"/>
      <x:c r="M70" s="5"/>
      <x:c r="N70" s="5"/>
    </x:row>
    <x:row r="71" ht="21" customHeight="1">
      <x:c r="A71" s="3"/>
      <x:c r="B71" s="3"/>
      <x:c r="C71" s="110" t="n">
        <x:v>280</x:v>
      </x:c>
      <x:c r="D71" s="19" t="n">
        <x:f>$C71*D$66</x:f>
        <x:v>1680</x:v>
      </x:c>
      <x:c r="E71" s="19" t="n">
        <x:f>$C71*E$66</x:f>
        <x:v>2240</x:v>
      </x:c>
      <x:c r="F71" s="19" t="n">
        <x:f>$C71*F$66</x:f>
        <x:v>2800</x:v>
      </x:c>
      <x:c r="G71" s="19" t="n">
        <x:f>$C71*G$66</x:f>
        <x:v>3360</x:v>
      </x:c>
      <x:c r="H71" s="19" t="n">
        <x:f>$C71*H$66</x:f>
        <x:v>3920</x:v>
      </x:c>
      <x:c r="I71" s="19" t="n">
        <x:f>$C71*I$66</x:f>
        <x:v>4480</x:v>
      </x:c>
      <x:c r="J71" s="5"/>
      <x:c r="K71" s="5"/>
      <x:c r="L71" s="5"/>
      <x:c r="M71" s="5"/>
      <x:c r="N71" s="5"/>
    </x:row>
    <x:row r="72" ht="21" customHeight="1">
      <x:c r="A72" s="3"/>
      <x:c r="B72" s="3"/>
      <x:c r="C72" s="3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</x:row>
    <x:row r="73" ht="21" customHeight="1">
      <x:c r="A73" s="3"/>
      <x:c r="B73" s="3"/>
      <x:c r="C73" s="9" t="str">
        <x:v>Each cell is revenue x multiple. Middle revenue row follows the model. Column multiples are illustrative assumptions.</x:v>
      </x:c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</x:row>
    <x:row r="74" ht="21" customHeight="1">
      <x:c r="A74" s="3"/>
      <x:c r="B74" s="3"/>
      <x:c r="C74" s="3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</x:row>
    <x:row r="75" ht="23" customHeight="1">
      <x:c r="A75" s="3"/>
      <x:c r="B75" s="3"/>
      <x:c r="C75" s="12" t="str">
        <x:v>IPO offering mechanics</x:v>
      </x:c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</x:row>
    <x:row r="76" ht="21" customHeight="1">
      <x:c r="A76" s="3"/>
      <x:c r="B76" s="3"/>
      <x:c r="C76" s="3" t="str">
        <x:v>Pre-offer equity value</x:v>
      </x:c>
      <x:c r="D76" s="19" t="n">
        <x:f>D25</x:f>
        <x:v>1950</x:v>
      </x:c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 ht="21" customHeight="1">
      <x:c r="A77" s="3"/>
      <x:c r="B77" s="3"/>
      <x:c r="C77" s="3" t="str">
        <x:v>Gross primary proceeds</x:v>
      </x:c>
      <x:c r="D77" s="61" t="str">
        <x:f>IF(ISNUMBER('Inputs'!D16),'Inputs'!D16,"n.a.")</x:f>
        <x:v>n.a.</x:v>
      </x:c>
      <x:c r="E77" s="4"/>
      <x:c r="F77" s="26" t="str">
        <x:v>Enter gross primary proceeds on Inputs. Secondary sales add no company cash.</x:v>
      </x:c>
      <x:c r="G77" s="4"/>
      <x:c r="H77" s="4"/>
      <x:c r="I77" s="4"/>
      <x:c r="J77" s="4"/>
      <x:c r="K77" s="4"/>
      <x:c r="L77" s="4"/>
      <x:c r="M77" s="4"/>
      <x:c r="N77" s="4"/>
    </x:row>
    <x:row r="78" ht="21" customHeight="1">
      <x:c r="A78" s="3"/>
      <x:c r="B78" s="3"/>
      <x:c r="C78" s="3" t="str">
        <x:v>Less: IPO fees</x:v>
      </x:c>
      <x:c r="D78" s="61" t="str">
        <x:f>IF(ISNUMBER(D77),-D77*'Inputs'!D17,"n.a.")</x:f>
        <x:v>n.a.</x:v>
      </x:c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 ht="21" customHeight="1">
      <x:c r="A79" s="3"/>
      <x:c r="B79" s="3"/>
      <x:c r="C79" s="3" t="str">
        <x:v>Net primary proceeds</x:v>
      </x:c>
      <x:c r="D79" s="19" t="str">
        <x:f>IF(ISNUMBER(D77),SUM(D77:D78),"n.a.")</x:f>
        <x:v>n.a.</x:v>
      </x:c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 ht="21" customHeight="1">
      <x:c r="A80" s="3"/>
      <x:c r="B80" s="3"/>
      <x:c r="C80" s="65" t="str">
        <x:v>Post-offer equity value</x:v>
      </x:c>
      <x:c r="D80" s="70" t="str">
        <x:f>IF(ISNUMBER(D79),D76+D79,"n.a.")</x:f>
        <x:v>n.a.</x:v>
      </x:c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</x:row>
    <x:row r="81" ht="21" customHeight="1">
      <x:c r="A81" s="3"/>
      <x:c r="B81" s="3"/>
      <x:c r="C81" s="3" t="str">
        <x:v>Existing diluted shares (billions)</x:v>
      </x:c>
      <x:c r="D81" s="112" t="str">
        <x:f>IF(ISNUMBER('Inputs'!D18),'Inputs'!D18,"n.a.")</x:f>
        <x:v>n.a.</x:v>
      </x:c>
      <x:c r="E81" s="4"/>
      <x:c r="F81" s="26" t="str">
        <x:v>Final IPO share count remains blank; historical shares cannot determine an offer price.</x:v>
      </x:c>
      <x:c r="G81" s="4"/>
      <x:c r="H81" s="4"/>
      <x:c r="I81" s="4"/>
      <x:c r="J81" s="4"/>
      <x:c r="K81" s="4"/>
      <x:c r="L81" s="4"/>
      <x:c r="M81" s="4"/>
      <x:c r="N81" s="4"/>
    </x:row>
    <x:row r="82" ht="21" customHeight="1">
      <x:c r="A82" s="3"/>
      <x:c r="B82" s="3"/>
      <x:c r="C82" s="3" t="str">
        <x:v>Implied offer price ($ / share)</x:v>
      </x:c>
      <x:c r="D82" s="114" t="str">
        <x:f>IF(ISNUMBER(D81),IF(D81&gt;0,D76/D81,"n.a."),"n.a.")</x:f>
        <x:v>n.a.</x:v>
      </x:c>
      <x:c r="E82" s="4"/>
      <x:c r="F82" s="26" t="str">
        <x:v>Pre-offer equity / existing shares. No placeholder share count is assumed.</x:v>
      </x:c>
      <x:c r="G82" s="4"/>
      <x:c r="H82" s="4"/>
      <x:c r="I82" s="4"/>
      <x:c r="J82" s="4"/>
      <x:c r="K82" s="4"/>
      <x:c r="L82" s="4"/>
      <x:c r="M82" s="4"/>
      <x:c r="N82" s="4"/>
    </x:row>
    <x:row r="83" ht="21" customHeight="1">
      <x:c r="A83" s="3"/>
      <x:c r="B83" s="3"/>
      <x:c r="C83" s="3" t="str">
        <x:v>New primary shares (billions)</x:v>
      </x:c>
      <x:c r="D83" s="113" t="str">
        <x:f>IF(ISNUMBER(D77),IF(ISNUMBER(D82),IF(D82&gt;0,D77/D82,"n.a."),"n.a."),"n.a.")</x:f>
        <x:v>n.a.</x:v>
      </x:c>
      <x:c r="E83" s="4"/>
      <x:c r="F83" s="4"/>
      <x:c r="G83" s="4"/>
      <x:c r="H83" s="4"/>
      <x:c r="I83" s="4"/>
      <x:c r="J83" s="4"/>
      <x:c r="K83" s="4"/>
      <x:c r="L83" s="4"/>
      <x:c r="M83" s="4"/>
      <x:c r="N83" s="4"/>
    </x:row>
    <x:row r="84" ht="21" customHeight="1">
      <x:c r="A84" s="3"/>
      <x:c r="B84" s="3"/>
      <x:c r="C84" s="65" t="str">
        <x:v>Total shares after IPO (billions)</x:v>
      </x:c>
      <x:c r="D84" s="117" t="str">
        <x:f>IF(ISNUMBER(D83),D81+D83,"n.a.")</x:f>
        <x:v>n.a.</x:v>
      </x:c>
      <x:c r="E84" s="71"/>
      <x:c r="F84" s="82" t="str">
        <x:v>Existing diluted shares + new shares sold.</x:v>
      </x:c>
      <x:c r="G84" s="71"/>
      <x:c r="H84" s="71"/>
      <x:c r="I84" s="71"/>
      <x:c r="J84" s="71"/>
      <x:c r="K84" s="71"/>
      <x:c r="L84" s="71"/>
      <x:c r="M84" s="71"/>
      <x:c r="N84" s="71"/>
    </x:row>
    <x:row r="85" ht="21" customHeight="1">
      <x:c r="A85" s="3"/>
      <x:c r="B85" s="3"/>
      <x:c r="C85" s="3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</x:row>
    <x:row r="86" ht="21" customHeight="1">
      <x:c r="A86" s="3"/>
      <x:c r="B86" s="3"/>
      <x:c r="C86" s="9" t="str">
        <x:v>Equity = EV + net cash. Reported private-round equity values and EV multiples use different bases.</x:v>
      </x:c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</x:row>
    <x:row r="87" ht="21" customHeight="1">
      <x:c r="A87" s="3"/>
      <x:c r="B87" s="3"/>
      <x:c r="C87" s="9" t="str">
        <x:v>The $965bn private mark is post-money from May. It is not an additional cash inflow in this valuation.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</x:row>
    <x:row r="88" ht="21" customHeight="1">
      <x:c r="A88" s="3"/>
      <x:c r="B88" s="3"/>
      <x:c r="C88" s="3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</x:row>
    <x:row r="89" ht="23" customHeight="1">
      <x:c r="A89" s="3"/>
      <x:c r="B89" s="3"/>
      <x:c r="C89" s="12" t="str">
        <x:v>Valuation triangulation ($bn)</x:v>
      </x:c>
      <x:c r="D89" s="13"/>
      <x:c r="E89" s="13"/>
      <x:c r="F89" s="13"/>
      <x:c r="G89" s="13"/>
      <x:c r="H89" s="13"/>
      <x:c r="I89" s="13"/>
      <x:c r="J89" s="5"/>
      <x:c r="K89" s="5"/>
      <x:c r="L89" s="5"/>
      <x:c r="M89" s="5"/>
      <x:c r="N89" s="5"/>
    </x:row>
    <x:row r="90" ht="21" customHeight="1">
      <x:c r="A90" s="3"/>
      <x:c r="B90" s="3"/>
      <x:c r="C90" s="32" t="str">
        <x:v>Method</x:v>
      </x:c>
      <x:c r="D90" s="43" t="str">
        <x:v>Value</x:v>
      </x:c>
      <x:c r="E90" s="43" t="str">
        <x:v>vs IPO benchmark</x:v>
      </x:c>
      <x:c r="F90" s="5"/>
      <x:c r="G90" s="5"/>
      <x:c r="H90" s="5"/>
      <x:c r="I90" s="5"/>
      <x:c r="J90" s="5"/>
      <x:c r="K90" s="5"/>
      <x:c r="L90" s="5"/>
      <x:c r="M90" s="5"/>
      <x:c r="N90" s="5"/>
    </x:row>
    <x:row r="91" ht="21" customHeight="1">
      <x:c r="A91" s="3"/>
      <x:c r="B91" s="3"/>
      <x:c r="C91" s="3" t="str">
        <x:v>DCF enterprise value</x:v>
      </x:c>
      <x:c r="D91" s="19" t="n">
        <x:f>D8</x:f>
        <x:v>788.5394443995485</x:v>
      </x:c>
      <x:c r="E91" s="97" t="n">
        <x:f>IF(ISNUMBER(D91),D91/$D$10-1,"n.a.")</x:f>
        <x:v>-0.47430703706696764</x:v>
      </x:c>
      <x:c r="F91" s="4"/>
      <x:c r="G91" s="4"/>
      <x:c r="H91" s="4"/>
      <x:c r="I91" s="4"/>
      <x:c r="J91" s="5"/>
      <x:c r="K91" s="5"/>
      <x:c r="L91" s="5"/>
      <x:c r="M91" s="5"/>
      <x:c r="N91" s="5"/>
    </x:row>
    <x:row r="92" ht="21" customHeight="1">
      <x:c r="A92" s="3"/>
      <x:c r="B92" s="3"/>
      <x:c r="C92" s="3" t="str">
        <x:v>Comps - neocloud median x 2026E</x:v>
      </x:c>
      <x:c r="D92" s="61" t="n">
        <x:f>'Comps'!E57</x:f>
        <x:v>780.323279195669</x:v>
      </x:c>
      <x:c r="E92" s="97" t="n">
        <x:f>IF(ISNUMBER(D92),D92/$D$10-1,"n.a.")</x:f>
        <x:v>-0.4797844805362207</x:v>
      </x:c>
      <x:c r="F92" s="4"/>
      <x:c r="G92" s="4"/>
      <x:c r="H92" s="4"/>
      <x:c r="I92" s="4"/>
      <x:c r="J92" s="5"/>
      <x:c r="K92" s="5"/>
      <x:c r="L92" s="5"/>
      <x:c r="M92" s="5"/>
      <x:c r="N92" s="5"/>
    </x:row>
    <x:row r="93" ht="21" customHeight="1">
      <x:c r="A93" s="3"/>
      <x:c r="B93" s="3"/>
      <x:c r="C93" s="3" t="str">
        <x:v>Comps - frontier-lab secondary x exit-2026 ARR</x:v>
      </x:c>
      <x:c r="D93" s="61" t="n">
        <x:f>'Comps'!F54</x:f>
        <x:v>1885.7142857142856</x:v>
      </x:c>
      <x:c r="E93" s="97" t="n">
        <x:f>IF(ISNUMBER(D93),D93/$D$10-1,"n.a.")</x:f>
        <x:v>0.2571428571428571</x:v>
      </x:c>
      <x:c r="F93" s="4"/>
      <x:c r="G93" s="4"/>
      <x:c r="H93" s="4"/>
      <x:c r="I93" s="4"/>
      <x:c r="J93" s="5"/>
      <x:c r="K93" s="5"/>
      <x:c r="L93" s="5"/>
      <x:c r="M93" s="5"/>
      <x:c r="N93" s="5"/>
    </x:row>
    <x:row r="94" ht="21" customHeight="1">
      <x:c r="A94" s="3"/>
      <x:c r="B94" s="3"/>
      <x:c r="C94" s="3" t="str">
        <x:v>Comps - AI-software median x 2026E</x:v>
      </x:c>
      <x:c r="D94" s="61" t="n">
        <x:f>'Comps'!E55</x:f>
        <x:v>2662.4</x:v>
      </x:c>
      <x:c r="E94" s="97" t="n">
        <x:f>IF(ISNUMBER(D94),D94/$D$10-1,"n.a.")</x:f>
        <x:v>0.7749333333333335</x:v>
      </x:c>
      <x:c r="F94" s="4"/>
      <x:c r="G94" s="4"/>
      <x:c r="H94" s="4"/>
      <x:c r="I94" s="4"/>
      <x:c r="J94" s="5"/>
      <x:c r="K94" s="5"/>
      <x:c r="L94" s="5"/>
      <x:c r="M94" s="5"/>
      <x:c r="N94" s="5"/>
    </x:row>
    <x:row r="95" ht="21" customHeight="1">
      <x:c r="A95" s="3"/>
      <x:c r="B95" s="3"/>
      <x:c r="C95" s="65" t="str">
        <x:v>Comps - selected</x:v>
      </x:c>
      <x:c r="D95" s="67" t="n">
        <x:f>'Comps'!D62</x:f>
        <x:v>1885.7142857142856</x:v>
      </x:c>
      <x:c r="E95" s="121" t="n">
        <x:f>IF(ISNUMBER(D95),D95/$D$10-1,"n.a.")</x:f>
        <x:v>0.2571428571428571</x:v>
      </x:c>
      <x:c r="F95" s="4"/>
      <x:c r="G95" s="4"/>
      <x:c r="H95" s="4"/>
      <x:c r="I95" s="4"/>
      <x:c r="J95" s="5"/>
      <x:c r="K95" s="5"/>
      <x:c r="L95" s="5"/>
      <x:c r="M95" s="5"/>
      <x:c r="N95" s="5"/>
    </x:row>
    <x:row r="96" ht="21" customHeight="1">
      <x:c r="A96" s="3"/>
      <x:c r="B96" s="3"/>
      <x:c r="C96" s="3" t="str">
        <x:v>Last private round (Series H)</x:v>
      </x:c>
      <x:c r="D96" s="61" t="n">
        <x:f>'Inputs'!D39</x:f>
        <x:v>965</x:v>
      </x:c>
      <x:c r="E96" s="97" t="n">
        <x:f>IF(ISNUMBER(D96),D96/$D$10-1,"n.a.")</x:f>
        <x:v>-0.3566666666666667</x:v>
      </x:c>
      <x:c r="F96" s="4"/>
      <x:c r="G96" s="4"/>
      <x:c r="H96" s="4"/>
      <x:c r="I96" s="4"/>
      <x:c r="J96" s="5"/>
      <x:c r="K96" s="5"/>
      <x:c r="L96" s="5"/>
      <x:c r="M96" s="5"/>
      <x:c r="N96" s="5"/>
    </x:row>
    <x:row r="97" ht="21" customHeight="1">
      <x:c r="A97" s="3"/>
      <x:c r="B97" s="3"/>
      <x:c r="C97" s="3" t="str">
        <x:v>Secondary market mark</x:v>
      </x:c>
      <x:c r="D97" s="61" t="n">
        <x:f>'Inputs'!D55</x:f>
        <x:v>1100</x:v>
      </x:c>
      <x:c r="E97" s="97" t="n">
        <x:f>IF(ISNUMBER(D97),D97/$D$10-1,"n.a.")</x:f>
        <x:v>-0.2666666666666667</x:v>
      </x:c>
      <x:c r="F97" s="4"/>
      <x:c r="G97" s="4"/>
      <x:c r="H97" s="4"/>
      <x:c r="I97" s="4"/>
      <x:c r="J97" s="5"/>
      <x:c r="K97" s="5"/>
      <x:c r="L97" s="5"/>
      <x:c r="M97" s="5"/>
      <x:c r="N97" s="5"/>
    </x:row>
    <x:row r="98" ht="21" customHeight="1">
      <x:c r="A98" s="3"/>
      <x:c r="B98" s="3"/>
      <x:c r="C98" s="3" t="str">
        <x:v>Institutional fair value, low</x:v>
      </x:c>
      <x:c r="D98" s="61" t="n">
        <x:f>'Inputs'!D56</x:f>
        <x:v>1800</x:v>
      </x:c>
      <x:c r="E98" s="97" t="n">
        <x:f>IF(ISNUMBER(D98),D98/$D$10-1,"n.a.")</x:f>
        <x:v>0.19999999999999996</x:v>
      </x:c>
      <x:c r="F98" s="4"/>
      <x:c r="G98" s="4"/>
      <x:c r="H98" s="4"/>
      <x:c r="I98" s="4"/>
      <x:c r="J98" s="5"/>
      <x:c r="K98" s="5"/>
      <x:c r="L98" s="5"/>
      <x:c r="M98" s="5"/>
      <x:c r="N98" s="5"/>
    </x:row>
    <x:row r="99" ht="21" customHeight="1">
      <x:c r="A99" s="3"/>
      <x:c r="B99" s="3"/>
      <x:c r="C99" s="3" t="str">
        <x:v>IPO investor discussion</x:v>
      </x:c>
      <x:c r="D99" s="19" t="n">
        <x:f>D10</x:f>
        <x:v>1500</x:v>
      </x:c>
      <x:c r="E99" s="97" t="n">
        <x:f>IF(ISNUMBER(D99),D99/$D$10-1,"n.a.")</x:f>
        <x:v>0</x:v>
      </x:c>
      <x:c r="F99" s="4"/>
      <x:c r="G99" s="4"/>
      <x:c r="H99" s="4"/>
      <x:c r="I99" s="4"/>
      <x:c r="J99" s="5"/>
      <x:c r="K99" s="5"/>
      <x:c r="L99" s="5"/>
      <x:c r="M99" s="5"/>
      <x:c r="N99" s="5"/>
    </x:row>
    <x:row r="100" ht="21" customHeight="1">
      <x:c r="A100" s="3"/>
      <x:c r="B100" s="3"/>
      <x:c r="C100" s="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</x:row>
    <x:row r="101" ht="21" customHeight="1">
      <x:c r="A101" s="3"/>
      <x:c r="B101" s="3"/>
      <x:c r="C101" s="9" t="str">
        <x:v>Active December net-cash assumption remains zero; separate June snapshot sensitivities are shown below.</x:v>
      </x:c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</x:row>
    <x:row r="102" ht="21" customHeight="1">
      <x:c r="A102" s="3"/>
      <x:c r="B102" s="3"/>
      <x:c r="C102" s="9" t="str">
        <x:v>DCF and the neocloud multiple cluster near $0.8tn. The AI-software multiple reaches $2.7tn.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</x:row>
    <x:row r="103" ht="21" customHeight="1">
      <x:c r="A103" s="3"/>
      <x:c r="B103" s="3"/>
      <x:c r="C103" s="9" t="str">
        <x:v>Latest investor discussion is USD1.5tn; the earlier USD2tn expectation is a historical stress case.</x:v>
      </x:c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</x:row>
    <x:row r="104" ht="21" customHeight="1">
      <x:c r="A104" s="3"/>
      <x:c r="B104" s="3"/>
      <x:c r="C104" s="3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</x:row>
    <x:row r="105" ht="21" customHeight="1">
      <x:c r="A105" s="3"/>
      <x:c r="B105" s="3"/>
      <x:c r="C105" s="49" t="str">
        <x:v>This model supports research only. It is not a personal investment recommendation.</x:v>
      </x:c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</x:row>
    <x:row r="106" ht="21" customHeight="1">
      <x:c r="A106" s="3"/>
      <x:c r="B106" s="3"/>
      <x:c r="C106" s="3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</x:row>
    <x:row r="107" ht="21" customHeight="1">
      <x:c r="A107" s="3"/>
      <x:c r="B107" s="3"/>
      <x:c r="C107" s="3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</x:row>
    <x:row r="108" ht="21" customHeight="1">
      <x:c r="A108" s="3"/>
      <x:c r="B108" s="3"/>
      <x:c r="C108" s="3" t="str">
        <x:v>Reported quarters and annual revenue assumption</x:v>
      </x:c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</x:row>
    <x:row r="109" ht="21" customHeight="1">
      <x:c r="A109" s="3"/>
      <x:c r="B109" s="3"/>
      <x:c r="C109" s="3" t="str">
        <x:v>Reported Q1-Q3 revenue (USD bn)</x:v>
      </x:c>
      <x:c r="D109" s="128" t="n">
        <x:f>SUM('Inputs'!J37:J39)</x:f>
        <x:v>33.086</x:v>
      </x:c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</x:row>
    <x:row r="110" ht="21" customHeight="1">
      <x:c r="A110" s="3"/>
      <x:c r="B110" s="3"/>
      <x:c r="C110" s="3" t="str">
        <x:v>FY2026 revenue assumption (USD bn)</x:v>
      </x:c>
      <x:c r="D110" s="128" t="n">
        <x:f>'Inputs'!D22</x:f>
        <x:v>64</x:v>
      </x:c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</x:row>
    <x:row r="111" ht="21" customHeight="1">
      <x:c r="A111" s="3"/>
      <x:c r="B111" s="3"/>
      <x:c r="C111" s="3" t="str">
        <x:v>Q4 revenue needed (USD bn)</x:v>
      </x:c>
      <x:c r="D111" s="128" t="n">
        <x:f>D110-D109</x:f>
        <x:v>30.914</x:v>
      </x:c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</x:row>
    <x:row r="112" ht="21" customHeight="1">
      <x:c r="A112" s="3"/>
      <x:c r="B112" s="3"/>
      <x:c r="C112" s="3" t="str">
        <x:v>Required Q4 growth vs Q3</x:v>
      </x:c>
      <x:c r="D112" s="126" t="n">
        <x:f>D111/'Inputs'!J39-1</x:f>
        <x:v>0.8401190476190477</x:v>
      </x:c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</x:row>
    <x:row r="113" ht="21" customHeight="1">
      <x:c r="A113" s="3"/>
      <x:c r="B113" s="3"/>
      <x:c r="C113" s="3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</x:row>
    <x:row r="114" ht="21" customHeight="1">
      <x:c r="A114" s="3"/>
      <x:c r="B114" s="3"/>
      <x:c r="C114" s="3" t="str">
        <x:v>26 Oct S-1 included: Q1/Q2 are exact filing values; Q3 remains Reuters-reported.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</x:row>
    <x:row r="115" ht="21" customHeight="1">
      <x:c r="A115" s="3"/>
      <x:c r="B115" s="3"/>
      <x:c r="C115" s="3" t="str">
        <x:v>S-1 annuals are audited; interim statements are unaudited. Forecasts remain assumptions.</x:v>
      </x:c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</x:row>
    <x:row r="116" ht="21" customHeight="1">
      <x:c r="A116" s="3"/>
      <x:c r="B116" s="3"/>
      <x:c r="C116" s="3" t="str">
        <x:v>June liquidity is not December net cash. Amazon conversion is subject to an ownership cap.</x:v>
      </x:c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</x:row>
    <x:row r="117" ht="21" customHeight="1">
      <x:c r="A117" s="3"/>
      <x:c r="B117" s="3"/>
      <x:c r="C117" s="3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</x:row>
    <x:row r="118" ht="25" customHeight="1">
      <x:c r="A118" s="3"/>
      <x:c r="B118" s="3"/>
      <x:c r="C118" s="144" t="str">
        <x:v>S1 operating observations (USD bn)</x:v>
      </x:c>
      <x:c r="D118" s="145"/>
      <x:c r="E118" s="145"/>
      <x:c r="F118" s="145"/>
      <x:c r="G118" s="145"/>
      <x:c r="H118" s="145"/>
      <x:c r="I118" s="145"/>
      <x:c r="J118" s="145"/>
      <x:c r="K118" s="145"/>
      <x:c r="L118" s="145"/>
      <x:c r="M118" s="145"/>
      <x:c r="N118" s="145"/>
    </x:row>
    <x:row r="119" ht="23" customHeight="1">
      <x:c r="A119" s="3"/>
      <x:c r="B119" s="3"/>
      <x:c r="C119" s="3" t="str">
        <x:v>H1 2026 revenue</x:v>
      </x:c>
      <x:c r="D119" s="132" t="n">
        <x:f>'Inputs'!F149</x:f>
        <x:v>16.286</x:v>
      </x:c>
      <x:c r="E119" s="5"/>
      <x:c r="F119" s="5" t="str">
        <x:v>H1 interim statements are unaudited; Q3 revenue remains a separate media observation.</x:v>
      </x:c>
      <x:c r="G119" s="5"/>
      <x:c r="H119" s="5"/>
      <x:c r="I119" s="5"/>
      <x:c r="J119" s="5"/>
      <x:c r="K119" s="5"/>
      <x:c r="L119" s="5"/>
      <x:c r="M119" s="5"/>
      <x:c r="N119" s="5"/>
    </x:row>
    <x:row r="120" ht="23" customHeight="1">
      <x:c r="A120" s="3"/>
      <x:c r="B120" s="3"/>
      <x:c r="C120" s="3" t="str">
        <x:v>H1 operating income (loss)</x:v>
      </x:c>
      <x:c r="D120" s="132" t="n">
        <x:f>'Inputs'!F150</x:f>
        <x:v>-0.693</x:v>
      </x:c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</x:row>
    <x:row r="121" ht="23" customHeight="1">
      <x:c r="A121" s="3"/>
      <x:c r="B121" s="3"/>
      <x:c r="C121" s="3" t="str">
        <x:v>H1 net income (loss)</x:v>
      </x:c>
      <x:c r="D121" s="132" t="n">
        <x:f>'Inputs'!F151</x:f>
        <x:v>-80.748</x:v>
      </x:c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</x:row>
    <x:row r="122" ht="23" customHeight="1">
      <x:c r="A122" s="3"/>
      <x:c r="B122" s="3"/>
      <x:c r="C122" s="3" t="str">
        <x:v>H1 operating cash flow</x:v>
      </x:c>
      <x:c r="D122" s="132" t="n">
        <x:f>'Inputs'!F153</x:f>
        <x:v>3.929</x:v>
      </x:c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</x:row>
    <x:row r="123" ht="23" customHeight="1">
      <x:c r="A123" s="3"/>
      <x:c r="B123" s="3"/>
      <x:c r="C123" s="3" t="str">
        <x:v>H1 cash flow less cash capex</x:v>
      </x:c>
      <x:c r="D123" s="132" t="n">
        <x:f>D122-'Inputs'!F154</x:f>
        <x:v>3.447</x:v>
      </x:c>
      <x:c r="E123" s="5"/>
      <x:c r="F123" s="5" t="str">
        <x:v>Cash-flow less cash capex is not unlevered FCF; vendor-payment timing affects operating cash flow.</x:v>
      </x:c>
      <x:c r="G123" s="5"/>
      <x:c r="H123" s="5"/>
      <x:c r="I123" s="5"/>
      <x:c r="J123" s="5"/>
      <x:c r="K123" s="5"/>
      <x:c r="L123" s="5"/>
      <x:c r="M123" s="5"/>
      <x:c r="N123" s="5"/>
    </x:row>
    <x:row r="124" ht="23" customHeight="1">
      <x:c r="A124" s="3"/>
      <x:c r="B124" s="3"/>
      <x:c r="C124" s="3" t="str">
        <x:v>H1 financing fair-value loss</x:v>
      </x:c>
      <x:c r="D124" s="132" t="n">
        <x:f>'Inputs'!F152</x:f>
        <x:v>72.388</x:v>
      </x:c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</x:row>
    <x:row r="125" ht="23" customHeight="1">
      <x:c r="A125" s="3"/>
      <x:c r="B125" s="3"/>
      <x:c r="C125" s="3"/>
      <x:c r="D125" s="132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</x:row>
    <x:row r="126" ht="25" customHeight="1">
      <x:c r="A126" s="3"/>
      <x:c r="B126" s="3"/>
      <x:c r="C126" s="144" t="str">
        <x:v>June cash bridge sensitivity (USD bn)</x:v>
      </x:c>
      <x:c r="D126" s="146"/>
      <x:c r="E126" s="145"/>
      <x:c r="F126" s="145"/>
      <x:c r="G126" s="145"/>
      <x:c r="H126" s="145"/>
      <x:c r="I126" s="145"/>
      <x:c r="J126" s="145"/>
      <x:c r="K126" s="145"/>
      <x:c r="L126" s="145"/>
      <x:c r="M126" s="145"/>
      <x:c r="N126" s="145"/>
    </x:row>
    <x:row r="127" ht="23" customHeight="1">
      <x:c r="A127" s="3"/>
      <x:c r="B127" s="3"/>
      <x:c r="C127" s="3" t="str">
        <x:v>Cash plus short-term investments</x:v>
      </x:c>
      <x:c r="D127" s="132" t="n">
        <x:f>SUM('Inputs'!D161:D162)</x:f>
        <x:v>131.651</x:v>
      </x:c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</x:row>
    <x:row r="128" ht="23" customHeight="1">
      <x:c r="A128" s="3"/>
      <x:c r="B128" s="3"/>
      <x:c r="C128" s="3" t="str">
        <x:v>Less: finance lease liabilities</x:v>
      </x:c>
      <x:c r="D128" s="132" t="n">
        <x:f>'Inputs'!D167</x:f>
        <x:v>0.443</x:v>
      </x:c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</x:row>
    <x:row r="129" ht="23" customHeight="1">
      <x:c r="A129" s="3"/>
      <x:c r="B129" s="3"/>
      <x:c r="C129" s="3" t="str">
        <x:v>Amazon note principal</x:v>
      </x:c>
      <x:c r="D129" s="132" t="n">
        <x:f>SUM('Inputs'!D165:D166)</x:f>
        <x:v>6.203</x:v>
      </x:c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</x:row>
    <x:row r="130" ht="23" customHeight="1">
      <x:c r="A130" s="3"/>
      <x:c r="B130" s="3"/>
      <x:c r="C130" s="3" t="str">
        <x:v>Cash proxy: notes retained</x:v>
      </x:c>
      <x:c r="D130" s="132" t="n">
        <x:f>D127-SUM(D128:D129)</x:f>
        <x:v>125.00500000000001</x:v>
      </x:c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</x:row>
    <x:row r="131" ht="23" customHeight="1">
      <x:c r="C131" s="129" t="str">
        <x:v>Cash proxy: full conversion</x:v>
      </x:c>
      <x:c r="D131" s="130" t="n">
        <x:f>D127-D128</x:f>
        <x:v>131.208</x:v>
      </x:c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</x:row>
    <x:row r="132" ht="23" customHeight="1">
      <x:c r="C132" s="129" t="str">
        <x:v>DCF equity: notes retained</x:v>
      </x:c>
      <x:c r="D132" s="130" t="n">
        <x:f>$D$8+D130</x:f>
        <x:v>913.5444443995485</x:v>
      </x:c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</x:row>
    <x:row r="133" ht="23" customHeight="1">
      <x:c r="C133" s="129" t="str">
        <x:v>DCF equity: full conversion</x:v>
      </x:c>
      <x:c r="D133" s="130" t="n">
        <x:f>$D$8+D131</x:f>
        <x:v>919.7474443995485</x:v>
      </x:c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</x:row>
    <x:row r="134" ht="23" customHeight="1">
      <x:c r="C134" s="129" t="str">
        <x:v>Terminal margin: notes retained</x:v>
      </x:c>
      <x:c r="D134" s="133" t="n">
        <x:f>((D10-D130-D56)/N42*('Inputs'!D11-'Inputs'!D13)-SUM(D50:D52))/D46/(1-'Inputs'!D14)</x:f>
        <x:v>0.7171122588175671</x:v>
      </x:c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</x:row>
    <x:row r="135" ht="23" customHeight="1">
      <x:c r="C135" s="129" t="str">
        <x:v>Terminal margin: full conversion</x:v>
      </x:c>
      <x:c r="D135" s="133" t="n">
        <x:f>((D10-D131-D56)/N42*('Inputs'!D11-'Inputs'!D13)-SUM(D50:D52))/D46/(1-'Inputs'!D14)</x:f>
        <x:v>0.7132292751546129</x:v>
      </x:c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</x:row>
    <x:row r="136" ht="23" customHeight="1"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</x:row>
    <x:row r="137" ht="23" customHeight="1">
      <x:c r="C137" s="129" t="str">
        <x:v>June snapshot only: no H2 cash roll-forward, new funding or IPO proceeds; not an existing-common equity allocation.</x:v>
      </x:c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</x:row>
    <x:row r="138" ht="23" customHeight="1">
      <x:c r="C138" s="129" t="str">
        <x:v>Full conversion is illustrative, subject to Amazon 12% ownership cap; residual notes may remain outstanding.</x:v>
      </x:c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</x:row>
    <x:row r="139" ht="23" customHeight="1">
      <x:c r="C139" s="129" t="str">
        <x:v>Restricted cash is excluded. Operating rent remains in forecast margins and is not deducted a second time.</x:v>
      </x:c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</x:row>
    <x:row r="140" ht="23" customHeight="1">
      <x:c r="C140" s="129" t="str">
        <x:v>The USD108.566bn note carrying value is not the USD6.203bn cash principal.</x:v>
      </x:c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</x:row>
    <x:row r="141" ht="23" customHeight="1"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</x:row>
  </x:sheetData>
  <x:conditionalFormatting sqref="D67:I71">
    <x:cfRule type="colorScale" priority="1">
      <x:colorScale>
        <x:cfvo type="min"/>
        <x:cfvo type="percentile" val="50"/>
        <x:cfvo type="max"/>
        <x:color rgb="FFF3E1D3"/>
        <x:color rgb="FFF5F6F7"/>
        <x:color rgb="FF9FB2C5"/>
      </x:colorScale>
    </x:cfRule>
  </x:conditionalFormatting>
  <x:pageMargins left="0.7" right="0.7" top="0.75" bottom="0.75" header="0.3" footer="0.3"/>
  <x:drawing xmlns:r="http://schemas.openxmlformats.org/officeDocument/2006/relationships" r:id="R500a6ec34ab449ec"/>
</x:worksheet>
</file>

<file path=xl/worksheets/sheet2.xml><?xml version="1.0" encoding="utf-8"?>
<x:worksheet xmlns:x="http://schemas.openxmlformats.org/spreadsheetml/2006/main">
  <x:sheetPr>
    <x:tabColor rgb="FF7A5C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0" hidden="0" customWidth="1"/>
    <x:col min="10" max="10" width="12" hidden="0" customWidth="1"/>
    <x:col min="11" max="11" width="15" hidden="0" customWidth="1"/>
    <x:col min="12" max="12" width="10" hidden="0" customWidth="1"/>
  </x:cols>
  <x:sheetData>
    <x:row r="1" ht="21" customHeight="1">
      <x:c r="A1" s="3"/>
      <x:c r="B1" s="3"/>
      <x:c r="C1" s="3"/>
      <x:c r="D1" s="5"/>
      <x:c r="E1" s="5"/>
      <x:c r="F1" s="5"/>
      <x:c r="G1" s="5"/>
      <x:c r="H1" s="5"/>
      <x:c r="I1" s="5"/>
      <x:c r="J1" s="5"/>
      <x:c r="K1" s="5"/>
      <x:c r="L1" s="5"/>
      <x:c r="M1" s="3"/>
      <x:c r="N1" s="3"/>
    </x:row>
    <x:row r="2" ht="30" customHeight="1">
      <x:c r="A2" s="3"/>
      <x:c r="B2" s="3"/>
      <x:c r="C2" s="6" t="str">
        <x:v>Comparable company valuation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3"/>
      <x:c r="N2" s="3"/>
    </x:row>
    <x:row r="3" ht="21" customHeight="1">
      <x:c r="A3" s="3"/>
      <x:c r="B3" s="3"/>
      <x:c r="C3" s="9" t="str">
        <x:v>USD billions. Public market data as of 8-9 Oct 2026; private marks as dated. Anthropic is the target, not a comp.</x:v>
      </x:c>
      <x:c r="D3" s="5"/>
      <x:c r="E3" s="5"/>
      <x:c r="F3" s="5"/>
      <x:c r="G3" s="5"/>
      <x:c r="H3" s="5"/>
      <x:c r="I3" s="5"/>
      <x:c r="J3" s="5"/>
      <x:c r="K3" s="5"/>
      <x:c r="L3" s="5"/>
      <x:c r="M3" s="3"/>
      <x:c r="N3" s="3"/>
    </x:row>
    <x:row r="4" ht="21" customHeight="1">
      <x:c r="A4" s="3"/>
      <x:c r="B4" s="3"/>
      <x:c r="C4" s="7"/>
      <x:c r="D4" s="8"/>
      <x:c r="E4" s="8"/>
      <x:c r="F4" s="8"/>
      <x:c r="G4" s="8"/>
      <x:c r="H4" s="8"/>
      <x:c r="I4" s="8"/>
      <x:c r="J4" s="8"/>
      <x:c r="K4" s="8"/>
      <x:c r="L4" s="8"/>
      <x:c r="M4" s="7"/>
      <x:c r="N4" s="7"/>
    </x:row>
    <x:row r="5" ht="23" customHeight="1">
      <x:c r="A5" s="3"/>
      <x:c r="B5" s="3"/>
      <x:c r="C5" s="12" t="str">
        <x:v>Tier 1 - Frontier AI labs (private). Closest business model. Marks are negotiated or secondary, not exchange-traded.</x:v>
      </x:c>
      <x:c r="D5" s="13"/>
      <x:c r="E5" s="13"/>
      <x:c r="F5" s="13"/>
      <x:c r="G5" s="13"/>
      <x:c r="H5" s="13"/>
      <x:c r="I5" s="13"/>
      <x:c r="J5" s="13"/>
      <x:c r="K5" s="13"/>
      <x:c r="L5" s="13"/>
      <x:c r="M5" s="3"/>
      <x:c r="N5" s="3"/>
    </x:row>
    <x:row r="6" ht="21" customHeight="1">
      <x:c r="A6" s="3"/>
      <x:c r="B6" s="3"/>
      <x:c r="C6" s="32" t="str">
        <x:v>Company</x:v>
      </x:c>
      <x:c r="D6" s="43" t="str">
        <x:v>Ticker</x:v>
      </x:c>
      <x:c r="E6" s="43" t="str">
        <x:v>Value $bn</x:v>
      </x:c>
      <x:c r="F6" s="43" t="str">
        <x:v>EV $bn</x:v>
      </x:c>
      <x:c r="G6" s="43" t="str">
        <x:v>Revenue $bn</x:v>
      </x:c>
      <x:c r="H6" s="43" t="str">
        <x:v>Revenue basis</x:v>
      </x:c>
      <x:c r="I6" s="43" t="str">
        <x:v>Rev growth</x:v>
      </x:c>
      <x:c r="J6" s="43" t="str">
        <x:v>Value / revenue</x:v>
      </x:c>
      <x:c r="K6" s="43" t="str">
        <x:v>As of</x:v>
      </x:c>
      <x:c r="L6" s="43" t="str">
        <x:v>Source</x:v>
      </x:c>
      <x:c r="M6" s="3"/>
      <x:c r="N6" s="3"/>
    </x:row>
    <x:row r="7" ht="21" customHeight="1">
      <x:c r="A7" s="3"/>
      <x:c r="B7" s="3"/>
      <x:c r="C7" s="3" t="str">
        <x:v>OpenAI - last priced round</x:v>
      </x:c>
      <x:c r="D7" s="5" t="str">
        <x:v>Private</x:v>
      </x:c>
      <x:c r="E7" s="55" t="n">
        <x:v>852</x:v>
      </x:c>
      <x:c r="F7" s="55" t="str">
        <x:v>n.a.</x:v>
      </x:c>
      <x:c r="G7" s="55" t="n">
        <x:v>70</x:v>
      </x:c>
      <x:c r="H7" s="5" t="str">
        <x:v>ARR, Sep-26</x:v>
      </x:c>
      <x:c r="I7" s="5" t="str">
        <x:v>n.a.</x:v>
      </x:c>
      <x:c r="J7" s="57" t="n">
        <x:f>IF(AND(ISNUMBER(E7),ISNUMBER(G7),G7&gt;0),E7/G7,"n.a.")</x:f>
        <x:v>12.17142857142857</x:v>
      </x:c>
      <x:c r="K7" s="5" t="str">
        <x:v>Mar-26 / Sep-26</x:v>
      </x:c>
      <x:c r="L7" s="5" t="str">
        <x:v>S14</x:v>
      </x:c>
      <x:c r="M7" s="3"/>
      <x:c r="N7" s="3"/>
    </x:row>
    <x:row r="8" ht="21" customHeight="1">
      <x:c r="A8" s="3"/>
      <x:c r="B8" s="3"/>
      <x:c r="C8" s="3" t="str">
        <x:v>OpenAI - secondary mark</x:v>
      </x:c>
      <x:c r="D8" s="5" t="str">
        <x:v>Private</x:v>
      </x:c>
      <x:c r="E8" s="55" t="n">
        <x:v>1200</x:v>
      </x:c>
      <x:c r="F8" s="55" t="str">
        <x:v>n.a.</x:v>
      </x:c>
      <x:c r="G8" s="55" t="n">
        <x:v>70</x:v>
      </x:c>
      <x:c r="H8" s="5" t="str">
        <x:v>ARR, Sep-26</x:v>
      </x:c>
      <x:c r="I8" s="5" t="str">
        <x:v>n.a.</x:v>
      </x:c>
      <x:c r="J8" s="57" t="n">
        <x:f>IF(AND(ISNUMBER(E8),ISNUMBER(G8),G8&gt;0),E8/G8,"n.a.")</x:f>
        <x:v>17.142857142857142</x:v>
      </x:c>
      <x:c r="K8" s="5" t="str">
        <x:v>Oct-26</x:v>
      </x:c>
      <x:c r="L8" s="5" t="str">
        <x:v>S14</x:v>
      </x:c>
      <x:c r="M8" s="3"/>
      <x:c r="N8" s="3"/>
    </x:row>
    <x:row r="9" ht="21" customHeight="1">
      <x:c r="A9" s="3"/>
      <x:c r="B9" s="3"/>
      <x:c r="C9" s="54" t="str">
        <x:v>Anthropic - last priced round</x:v>
      </x:c>
      <x:c r="D9" s="52" t="str">
        <x:v>TARGET</x:v>
      </x:c>
      <x:c r="E9" s="56" t="n">
        <x:v>965</x:v>
      </x:c>
      <x:c r="F9" s="56" t="str">
        <x:v>n.a.</x:v>
      </x:c>
      <x:c r="G9" s="56" t="n">
        <x:v>65</x:v>
      </x:c>
      <x:c r="H9" s="52" t="str">
        <x:v>ARR, Jul-26</x:v>
      </x:c>
      <x:c r="I9" s="52" t="str">
        <x:v>n.a.</x:v>
      </x:c>
      <x:c r="J9" s="58" t="n">
        <x:f>IF(AND(ISNUMBER(E9),ISNUMBER(G9),G9&gt;0),E9/G9,"n.a.")</x:f>
        <x:v>14.846153846153847</x:v>
      </x:c>
      <x:c r="K9" s="52" t="str">
        <x:v>May-26 / Jul-26</x:v>
      </x:c>
      <x:c r="L9" s="52" t="str">
        <x:v>S1, S6</x:v>
      </x:c>
      <x:c r="M9" s="3"/>
      <x:c r="N9" s="3"/>
    </x:row>
    <x:row r="10" ht="21" customHeight="1">
      <x:c r="A10" s="3"/>
      <x:c r="B10" s="3"/>
      <x:c r="C10" s="3" t="str">
        <x:v>xAI</x:v>
      </x:c>
      <x:c r="D10" s="5" t="str">
        <x:v>Private</x:v>
      </x:c>
      <x:c r="E10" s="55" t="n">
        <x:v>250</x:v>
      </x:c>
      <x:c r="F10" s="55" t="str">
        <x:v>n.a.</x:v>
      </x:c>
      <x:c r="G10" s="55" t="str">
        <x:v>n.a.</x:v>
      </x:c>
      <x:c r="H10" s="5" t="str">
        <x:v>[MISSING]</x:v>
      </x:c>
      <x:c r="I10" s="5" t="str">
        <x:v>n.a.</x:v>
      </x:c>
      <x:c r="J10" s="57" t="str">
        <x:f>IF(AND(ISNUMBER(E10),ISNUMBER(G10),G10&gt;0),E10/G10,"n.a.")</x:f>
        <x:v>n.a.</x:v>
      </x:c>
      <x:c r="K10" s="5" t="str">
        <x:v>Feb-26</x:v>
      </x:c>
      <x:c r="L10" s="5" t="str">
        <x:v>S15</x:v>
      </x:c>
      <x:c r="M10" s="3"/>
      <x:c r="N10" s="3"/>
    </x:row>
    <x:row r="11" ht="21" customHeight="1">
      <x:c r="A11" s="3"/>
      <x:c r="B11" s="3"/>
      <x:c r="C11" s="3" t="str">
        <x:v>Mistral AI</x:v>
      </x:c>
      <x:c r="D11" s="5" t="str">
        <x:v>Private</x:v>
      </x:c>
      <x:c r="E11" s="55" t="n">
        <x:v>24</x:v>
      </x:c>
      <x:c r="F11" s="55" t="str">
        <x:v>n.a.</x:v>
      </x:c>
      <x:c r="G11" s="55" t="str">
        <x:v>n.a.</x:v>
      </x:c>
      <x:c r="H11" s="5" t="str">
        <x:v>[MISSING]</x:v>
      </x:c>
      <x:c r="I11" s="5" t="str">
        <x:v>n.a.</x:v>
      </x:c>
      <x:c r="J11" s="57" t="str">
        <x:f>IF(AND(ISNUMBER(E11),ISNUMBER(G11),G11&gt;0),E11/G11,"n.a.")</x:f>
        <x:v>n.a.</x:v>
      </x:c>
      <x:c r="K11" s="5" t="str">
        <x:v>Sep-26</x:v>
      </x:c>
      <x:c r="L11" s="5" t="str">
        <x:v>S15</x:v>
      </x:c>
      <x:c r="M11" s="3"/>
      <x:c r="N11" s="3"/>
    </x:row>
    <x:row r="12" ht="21" customHeight="1">
      <x:c r="A12" s="3"/>
      <x:c r="B12" s="3"/>
      <x:c r="C12" s="40" t="str">
        <x:v>OpenAI carries two marks on the same $70bn ARR. That spread is the private-market error bar, not an anomaly.</x:v>
      </x:c>
      <x:c r="D12" s="5"/>
      <x:c r="E12" s="5"/>
      <x:c r="F12" s="5"/>
      <x:c r="G12" s="5"/>
      <x:c r="H12" s="5"/>
      <x:c r="I12" s="5"/>
      <x:c r="J12" s="5"/>
      <x:c r="K12" s="5"/>
      <x:c r="L12" s="5"/>
      <x:c r="M12" s="3"/>
      <x:c r="N12" s="3"/>
    </x:row>
    <x:row r="13" ht="21" customHeight="1">
      <x:c r="A13" s="3"/>
      <x:c r="B13" s="3"/>
      <x:c r="C13" s="3"/>
      <x:c r="D13" s="5"/>
      <x:c r="E13" s="5"/>
      <x:c r="F13" s="5"/>
      <x:c r="G13" s="5"/>
      <x:c r="H13" s="5"/>
      <x:c r="I13" s="5"/>
      <x:c r="J13" s="5"/>
      <x:c r="K13" s="5"/>
      <x:c r="L13" s="5"/>
      <x:c r="M13" s="3"/>
      <x:c r="N13" s="3"/>
    </x:row>
    <x:row r="14" ht="23" customHeight="1">
      <x:c r="A14" s="3"/>
      <x:c r="B14" s="3"/>
      <x:c r="C14" s="12" t="str">
        <x:v>Tier 2 - High-growth AI-enabled software (public). Growth and multiple proxies. Far lower capital intensity than a frontier lab.</x:v>
      </x:c>
      <x:c r="D14" s="13"/>
      <x:c r="E14" s="13"/>
      <x:c r="F14" s="13"/>
      <x:c r="G14" s="13"/>
      <x:c r="H14" s="13"/>
      <x:c r="I14" s="13"/>
      <x:c r="J14" s="13"/>
      <x:c r="K14" s="13"/>
      <x:c r="L14" s="13"/>
      <x:c r="M14" s="3"/>
      <x:c r="N14" s="3"/>
    </x:row>
    <x:row r="15" ht="21" customHeight="1">
      <x:c r="A15" s="3"/>
      <x:c r="B15" s="3"/>
      <x:c r="C15" s="32" t="str">
        <x:v>Company</x:v>
      </x:c>
      <x:c r="D15" s="43" t="str">
        <x:v>Ticker</x:v>
      </x:c>
      <x:c r="E15" s="43" t="str">
        <x:v>Market cap $bn</x:v>
      </x:c>
      <x:c r="F15" s="43" t="str">
        <x:v>EV $bn</x:v>
      </x:c>
      <x:c r="G15" s="43" t="str">
        <x:v>Revenue $bn</x:v>
      </x:c>
      <x:c r="H15" s="43" t="str">
        <x:v>Revenue basis</x:v>
      </x:c>
      <x:c r="I15" s="43" t="str">
        <x:v>Rev growth</x:v>
      </x:c>
      <x:c r="J15" s="43" t="str">
        <x:v>EV / revenue</x:v>
      </x:c>
      <x:c r="K15" s="43" t="str">
        <x:v>As of</x:v>
      </x:c>
      <x:c r="L15" s="43" t="str">
        <x:v>Source</x:v>
      </x:c>
      <x:c r="M15" s="3"/>
      <x:c r="N15" s="3"/>
    </x:row>
    <x:row r="16" ht="21" customHeight="1">
      <x:c r="A16" s="3"/>
      <x:c r="B16" s="3"/>
      <x:c r="C16" s="3" t="str">
        <x:v>Palantir</x:v>
      </x:c>
      <x:c r="D16" s="5" t="str">
        <x:v>PLTR</x:v>
      </x:c>
      <x:c r="E16" s="55" t="n">
        <x:v>439</x:v>
      </x:c>
      <x:c r="F16" s="55" t="n">
        <x:v>432</x:v>
      </x:c>
      <x:c r="G16" s="34" t="n">
        <x:v>8.15</x:v>
      </x:c>
      <x:c r="H16" s="5" t="str">
        <x:v>2026E revenue</x:v>
      </x:c>
      <x:c r="I16" s="38" t="n">
        <x:v>0.6</x:v>
      </x:c>
      <x:c r="J16" s="57" t="n">
        <x:f>IF(AND(ISNUMBER(F16),ISNUMBER(G16),G16&gt;0),F16/G16,"n.a.")</x:f>
        <x:v>53.00613496932515</x:v>
      </x:c>
      <x:c r="K16" s="5" t="str">
        <x:v>Aug-26</x:v>
      </x:c>
      <x:c r="L16" s="5" t="str">
        <x:v>S13</x:v>
      </x:c>
      <x:c r="M16" s="3"/>
      <x:c r="N16" s="3"/>
    </x:row>
    <x:row r="17" ht="21" customHeight="1">
      <x:c r="A17" s="3"/>
      <x:c r="B17" s="3"/>
      <x:c r="C17" s="3" t="str">
        <x:v>Cloudflare</x:v>
      </x:c>
      <x:c r="D17" s="5" t="str">
        <x:v>NET</x:v>
      </x:c>
      <x:c r="E17" s="55" t="n">
        <x:v>110</x:v>
      </x:c>
      <x:c r="F17" s="55" t="n">
        <x:v>109</x:v>
      </x:c>
      <x:c r="G17" s="55" t="n">
        <x:v>2.62</x:v>
      </x:c>
      <x:c r="H17" s="5" t="str">
        <x:v>2026E revenue</x:v>
      </x:c>
      <x:c r="I17" s="38" t="n">
        <x:v>0.36</x:v>
      </x:c>
      <x:c r="J17" s="57" t="n">
        <x:f>IF(AND(ISNUMBER(F17),ISNUMBER(G17),G17&gt;0),F17/G17,"n.a.")</x:f>
        <x:v>41.603053435114504</x:v>
      </x:c>
      <x:c r="K17" s="5" t="str">
        <x:v>Aug-26</x:v>
      </x:c>
      <x:c r="L17" s="5" t="str">
        <x:v>S13</x:v>
      </x:c>
      <x:c r="M17" s="3"/>
      <x:c r="N17" s="3"/>
    </x:row>
    <x:row r="18" ht="21" customHeight="1">
      <x:c r="A18" s="3"/>
      <x:c r="B18" s="3"/>
      <x:c r="C18" s="3" t="str">
        <x:v>CrowdStrike</x:v>
      </x:c>
      <x:c r="D18" s="5" t="str">
        <x:v>CRWD</x:v>
      </x:c>
      <x:c r="E18" s="55" t="n">
        <x:v>220</x:v>
      </x:c>
      <x:c r="F18" s="55" t="n">
        <x:v>218</x:v>
      </x:c>
      <x:c r="G18" s="55" t="n">
        <x:v>8.91</x:v>
      </x:c>
      <x:c r="H18" s="5" t="str">
        <x:v>NTM revenue</x:v>
      </x:c>
      <x:c r="I18" s="38" t="n">
        <x:v>0.22</x:v>
      </x:c>
      <x:c r="J18" s="57" t="n">
        <x:f>IF(AND(ISNUMBER(F18),ISNUMBER(G18),G18&gt;0),F18/G18,"n.a.")</x:f>
        <x:v>24.466891133557798</x:v>
      </x:c>
      <x:c r="K18" s="5" t="str">
        <x:v>Aug-26</x:v>
      </x:c>
      <x:c r="L18" s="5" t="str">
        <x:v>S16</x:v>
      </x:c>
      <x:c r="M18" s="3"/>
      <x:c r="N18" s="3"/>
    </x:row>
    <x:row r="19" ht="21" customHeight="1">
      <x:c r="A19" s="3"/>
      <x:c r="B19" s="3"/>
      <x:c r="C19" s="3" t="str">
        <x:v>Snowflake</x:v>
      </x:c>
      <x:c r="D19" s="5" t="str">
        <x:v>SNOW</x:v>
      </x:c>
      <x:c r="E19" s="55" t="n">
        <x:v>130</x:v>
      </x:c>
      <x:c r="F19" s="55" t="n">
        <x:v>128</x:v>
      </x:c>
      <x:c r="G19" s="55" t="n">
        <x:v>9.35</x:v>
      </x:c>
      <x:c r="H19" s="5" t="str">
        <x:v>NTM revenue</x:v>
      </x:c>
      <x:c r="I19" s="38" t="n">
        <x:v>0.28</x:v>
      </x:c>
      <x:c r="J19" s="57" t="n">
        <x:f>IF(AND(ISNUMBER(F19),ISNUMBER(G19),G19&gt;0),F19/G19,"n.a.")</x:f>
        <x:v>13.689839572192513</x:v>
      </x:c>
      <x:c r="K19" s="5" t="str">
        <x:v>Oct-26</x:v>
      </x:c>
      <x:c r="L19" s="5" t="str">
        <x:v>S16</x:v>
      </x:c>
      <x:c r="M19" s="3"/>
      <x:c r="N19" s="3"/>
    </x:row>
    <x:row r="20" ht="21" customHeight="1">
      <x:c r="A20" s="3"/>
      <x:c r="B20" s="3"/>
      <x:c r="C20" s="3" t="str">
        <x:v>SpaceX</x:v>
      </x:c>
      <x:c r="D20" s="5" t="str">
        <x:v>Private/listed</x:v>
      </x:c>
      <x:c r="E20" s="55" t="str">
        <x:v>n.a.</x:v>
      </x:c>
      <x:c r="F20" s="55" t="str">
        <x:v>n.a.</x:v>
      </x:c>
      <x:c r="G20" s="55" t="str">
        <x:v>n.a.</x:v>
      </x:c>
      <x:c r="H20" s="5" t="str">
        <x:v>2026E revenue</x:v>
      </x:c>
      <x:c r="I20" s="5" t="str">
        <x:v>n.a.</x:v>
      </x:c>
      <x:c r="J20" s="59" t="n">
        <x:v>41.6</x:v>
      </x:c>
      <x:c r="K20" s="5" t="str">
        <x:v>Aug-26</x:v>
      </x:c>
      <x:c r="L20" s="5" t="str">
        <x:v>S13</x:v>
      </x:c>
      <x:c r="M20" s="3"/>
      <x:c r="N20" s="3"/>
    </x:row>
    <x:row r="21" ht="21" customHeight="1">
      <x:c r="A21" s="3"/>
      <x:c r="B21" s="3"/>
      <x:c r="C21" s="40" t="str">
        <x:v>Revenue is backed out as value divided by the sourced multiple, so every row is internally consistent.</x:v>
      </x:c>
      <x:c r="D21" s="5"/>
      <x:c r="E21" s="5"/>
      <x:c r="F21" s="5"/>
      <x:c r="G21" s="5"/>
      <x:c r="H21" s="5"/>
      <x:c r="I21" s="5"/>
      <x:c r="J21" s="5"/>
      <x:c r="K21" s="5"/>
      <x:c r="L21" s="5"/>
      <x:c r="M21" s="3"/>
      <x:c r="N21" s="3"/>
    </x:row>
    <x:row r="22" ht="21" customHeight="1">
      <x:c r="A22" s="3"/>
      <x:c r="B22" s="3"/>
      <x:c r="C22" s="3"/>
      <x:c r="D22" s="5"/>
      <x:c r="E22" s="5"/>
      <x:c r="F22" s="5"/>
      <x:c r="G22" s="5"/>
      <x:c r="H22" s="5"/>
      <x:c r="I22" s="5"/>
      <x:c r="J22" s="5"/>
      <x:c r="K22" s="5"/>
      <x:c r="L22" s="5"/>
      <x:c r="M22" s="3"/>
      <x:c r="N22" s="3"/>
    </x:row>
    <x:row r="23" ht="23" customHeight="1">
      <x:c r="A23" s="3"/>
      <x:c r="B23" s="3"/>
      <x:c r="C23" s="12" t="str">
        <x:v>Tier 3 - AI infrastructure / neocloud (public). Capital-intensity and compute-contract proxy.</x:v>
      </x:c>
      <x:c r="D23" s="13"/>
      <x:c r="E23" s="13"/>
      <x:c r="F23" s="13"/>
      <x:c r="G23" s="13"/>
      <x:c r="H23" s="13"/>
      <x:c r="I23" s="13"/>
      <x:c r="J23" s="13"/>
      <x:c r="K23" s="13"/>
      <x:c r="L23" s="13"/>
      <x:c r="M23" s="3"/>
      <x:c r="N23" s="3"/>
    </x:row>
    <x:row r="24" ht="21" customHeight="1">
      <x:c r="A24" s="3"/>
      <x:c r="B24" s="3"/>
      <x:c r="C24" s="32" t="str">
        <x:v>Company</x:v>
      </x:c>
      <x:c r="D24" s="43" t="str">
        <x:v>Ticker</x:v>
      </x:c>
      <x:c r="E24" s="43" t="str">
        <x:v>Market cap $bn</x:v>
      </x:c>
      <x:c r="F24" s="43" t="str">
        <x:v>EV $bn</x:v>
      </x:c>
      <x:c r="G24" s="43" t="str">
        <x:v>Revenue $bn</x:v>
      </x:c>
      <x:c r="H24" s="43" t="str">
        <x:v>Revenue basis</x:v>
      </x:c>
      <x:c r="I24" s="43" t="str">
        <x:v>Rev growth</x:v>
      </x:c>
      <x:c r="J24" s="43" t="str">
        <x:v>EV / revenue</x:v>
      </x:c>
      <x:c r="K24" s="43" t="str">
        <x:v>As of</x:v>
      </x:c>
      <x:c r="L24" s="43" t="str">
        <x:v>Source</x:v>
      </x:c>
      <x:c r="M24" s="3"/>
      <x:c r="N24" s="3"/>
    </x:row>
    <x:row r="25" ht="21" customHeight="1">
      <x:c r="A25" s="3"/>
      <x:c r="B25" s="3"/>
      <x:c r="C25" s="3" t="str">
        <x:v>CoreWeave</x:v>
      </x:c>
      <x:c r="D25" s="5" t="str">
        <x:v>CRWV</x:v>
      </x:c>
      <x:c r="E25" s="55" t="n">
        <x:v>58</x:v>
      </x:c>
      <x:c r="F25" s="55" t="n">
        <x:v>86.6</x:v>
      </x:c>
      <x:c r="G25" s="55" t="n">
        <x:v>12.93</x:v>
      </x:c>
      <x:c r="H25" s="5" t="str">
        <x:v>2026E revenue</x:v>
      </x:c>
      <x:c r="I25" s="38" t="n">
        <x:v>1.2</x:v>
      </x:c>
      <x:c r="J25" s="57" t="n">
        <x:f>IF(AND(ISNUMBER(F25),ISNUMBER(G25),G25&gt;0),F25/G25,"n.a.")</x:f>
        <x:v>6.697602474864656</x:v>
      </x:c>
      <x:c r="K25" s="5" t="str">
        <x:v>May-26</x:v>
      </x:c>
      <x:c r="L25" s="5" t="str">
        <x:v>S17</x:v>
      </x:c>
      <x:c r="M25" s="3"/>
      <x:c r="N25" s="3"/>
    </x:row>
    <x:row r="26" ht="21" customHeight="1">
      <x:c r="A26" s="3"/>
      <x:c r="B26" s="3"/>
      <x:c r="C26" s="3" t="str">
        <x:v>Nebius</x:v>
      </x:c>
      <x:c r="D26" s="5" t="str">
        <x:v>NBIS</x:v>
      </x:c>
      <x:c r="E26" s="55" t="n">
        <x:v>55</x:v>
      </x:c>
      <x:c r="F26" s="55" t="n">
        <x:v>56.6</x:v>
      </x:c>
      <x:c r="G26" s="55" t="n">
        <x:v>3.2</x:v>
      </x:c>
      <x:c r="H26" s="5" t="str">
        <x:v>2026E revenue</x:v>
      </x:c>
      <x:c r="I26" s="38" t="n">
        <x:v>3</x:v>
      </x:c>
      <x:c r="J26" s="57" t="n">
        <x:f>IF(AND(ISNUMBER(F26),ISNUMBER(G26),G26&gt;0),F26/G26,"n.a.")</x:f>
        <x:v>17.6875</x:v>
      </x:c>
      <x:c r="K26" s="5" t="str">
        <x:v>Jun-26</x:v>
      </x:c>
      <x:c r="L26" s="5" t="str">
        <x:v>S17</x:v>
      </x:c>
      <x:c r="M26" s="3"/>
      <x:c r="N26" s="3"/>
    </x:row>
    <x:row r="27" ht="21" customHeight="1">
      <x:c r="A27" s="3"/>
      <x:c r="B27" s="3"/>
      <x:c r="C27" s="40" t="str">
        <x:v>These carry the same compute-commitment profile as Anthropic but none of the model-ownership economics.</x:v>
      </x:c>
      <x:c r="D27" s="5"/>
      <x:c r="E27" s="5"/>
      <x:c r="F27" s="5"/>
      <x:c r="G27" s="5"/>
      <x:c r="H27" s="5"/>
      <x:c r="I27" s="5"/>
      <x:c r="J27" s="5"/>
      <x:c r="K27" s="5"/>
      <x:c r="L27" s="5"/>
      <x:c r="M27" s="3"/>
      <x:c r="N27" s="3"/>
    </x:row>
    <x:row r="28" ht="21" customHeight="1">
      <x:c r="A28" s="3"/>
      <x:c r="B28" s="3"/>
      <x:c r="C28" s="3"/>
      <x:c r="D28" s="5"/>
      <x:c r="E28" s="5"/>
      <x:c r="F28" s="5"/>
      <x:c r="G28" s="5"/>
      <x:c r="H28" s="5"/>
      <x:c r="I28" s="5"/>
      <x:c r="J28" s="5"/>
      <x:c r="K28" s="5"/>
      <x:c r="L28" s="5"/>
      <x:c r="M28" s="3"/>
      <x:c r="N28" s="3"/>
    </x:row>
    <x:row r="29" ht="23" customHeight="1">
      <x:c r="A29" s="3"/>
      <x:c r="B29" s="3"/>
      <x:c r="C29" s="12" t="str">
        <x:v>Tier 4 - Mega-cap AI platforms. Scale reference only; their multiples are not comparable.</x:v>
      </x:c>
      <x:c r="D29" s="13"/>
      <x:c r="E29" s="13"/>
      <x:c r="F29" s="13"/>
      <x:c r="G29" s="13"/>
      <x:c r="H29" s="13"/>
      <x:c r="I29" s="13"/>
      <x:c r="J29" s="13"/>
      <x:c r="K29" s="13"/>
      <x:c r="L29" s="13"/>
      <x:c r="M29" s="3"/>
      <x:c r="N29" s="3"/>
    </x:row>
    <x:row r="30" ht="21" customHeight="1">
      <x:c r="A30" s="3"/>
      <x:c r="B30" s="3"/>
      <x:c r="C30" s="32" t="str">
        <x:v>Company</x:v>
      </x:c>
      <x:c r="D30" s="43" t="str">
        <x:v>Ticker</x:v>
      </x:c>
      <x:c r="E30" s="43" t="str">
        <x:v>Market cap $bn</x:v>
      </x:c>
      <x:c r="F30" s="5"/>
      <x:c r="G30" s="5"/>
      <x:c r="H30" s="5"/>
      <x:c r="I30" s="5"/>
      <x:c r="J30" s="5"/>
      <x:c r="K30" s="5"/>
      <x:c r="L30" s="5"/>
      <x:c r="M30" s="3"/>
      <x:c r="N30" s="3"/>
    </x:row>
    <x:row r="31" ht="21" customHeight="1">
      <x:c r="A31" s="3"/>
      <x:c r="B31" s="3"/>
      <x:c r="C31" s="3" t="str">
        <x:v>Nvidia</x:v>
      </x:c>
      <x:c r="D31" s="5" t="str">
        <x:v>NVDA</x:v>
      </x:c>
      <x:c r="E31" s="55" t="n">
        <x:v>5600</x:v>
      </x:c>
      <x:c r="F31" s="4" t="str">
        <x:v>Compute supplier, not a model developer</x:v>
      </x:c>
      <x:c r="G31" s="5"/>
      <x:c r="H31" s="5"/>
      <x:c r="I31" s="5"/>
      <x:c r="J31" s="5"/>
      <x:c r="K31" s="5"/>
      <x:c r="L31" s="5"/>
      <x:c r="M31" s="3"/>
      <x:c r="N31" s="3"/>
    </x:row>
    <x:row r="32" ht="21" customHeight="1">
      <x:c r="A32" s="3"/>
      <x:c r="B32" s="3"/>
      <x:c r="C32" s="3" t="str">
        <x:v>Alphabet</x:v>
      </x:c>
      <x:c r="D32" s="5" t="str">
        <x:v>GOOGL</x:v>
      </x:c>
      <x:c r="E32" s="55" t="n">
        <x:v>4100</x:v>
      </x:c>
      <x:c r="F32" s="4" t="str">
        <x:v>Investor, cloud partner and competitor</x:v>
      </x:c>
      <x:c r="G32" s="5"/>
      <x:c r="H32" s="5"/>
      <x:c r="I32" s="5"/>
      <x:c r="J32" s="5"/>
      <x:c r="K32" s="5"/>
      <x:c r="L32" s="5"/>
      <x:c r="M32" s="3"/>
      <x:c r="N32" s="3"/>
    </x:row>
    <x:row r="33" ht="21" customHeight="1">
      <x:c r="A33" s="3"/>
      <x:c r="B33" s="3"/>
      <x:c r="C33" s="3" t="str">
        <x:v>Microsoft</x:v>
      </x:c>
      <x:c r="D33" s="5" t="str">
        <x:v>MSFT</x:v>
      </x:c>
      <x:c r="E33" s="55" t="n">
        <x:v>3800</x:v>
      </x:c>
      <x:c r="F33" s="4" t="str">
        <x:v>Holds about 27% of OpenAI [S14]</x:v>
      </x:c>
      <x:c r="G33" s="5"/>
      <x:c r="H33" s="5"/>
      <x:c r="I33" s="5"/>
      <x:c r="J33" s="5"/>
      <x:c r="K33" s="5"/>
      <x:c r="L33" s="5"/>
      <x:c r="M33" s="3"/>
      <x:c r="N33" s="3"/>
    </x:row>
    <x:row r="34" ht="21" customHeight="1">
      <x:c r="A34" s="3"/>
      <x:c r="B34" s="3"/>
      <x:c r="C34" s="3" t="str">
        <x:v>Meta</x:v>
      </x:c>
      <x:c r="D34" s="5" t="str">
        <x:v>META</x:v>
      </x:c>
      <x:c r="E34" s="55" t="n">
        <x:v>1800</x:v>
      </x:c>
      <x:c r="F34" s="4" t="str">
        <x:v>Consumer AI distribution</x:v>
      </x:c>
      <x:c r="G34" s="5"/>
      <x:c r="H34" s="5"/>
      <x:c r="I34" s="5"/>
      <x:c r="J34" s="5"/>
      <x:c r="K34" s="5"/>
      <x:c r="L34" s="5"/>
      <x:c r="M34" s="3"/>
      <x:c r="N34" s="3"/>
    </x:row>
    <x:row r="35" ht="21" customHeight="1">
      <x:c r="A35" s="3"/>
      <x:c r="B35" s="3"/>
      <x:c r="C35" s="3" t="str">
        <x:v>Oracle</x:v>
      </x:c>
      <x:c r="D35" s="5" t="str">
        <x:v>ORCL</x:v>
      </x:c>
      <x:c r="E35" s="55" t="n">
        <x:v>444</x:v>
      </x:c>
      <x:c r="F35" s="4" t="str">
        <x:v>Cloud capacity provider</x:v>
      </x:c>
      <x:c r="G35" s="5"/>
      <x:c r="H35" s="5"/>
      <x:c r="I35" s="5"/>
      <x:c r="J35" s="5"/>
      <x:c r="K35" s="5"/>
      <x:c r="L35" s="5"/>
      <x:c r="M35" s="3"/>
      <x:c r="N35" s="3"/>
    </x:row>
    <x:row r="36" ht="21" customHeight="1">
      <x:c r="A36" s="3"/>
      <x:c r="B36" s="3"/>
      <x:c r="C36" s="3"/>
      <x:c r="D36" s="5"/>
      <x:c r="E36" s="5"/>
      <x:c r="F36" s="5"/>
      <x:c r="G36" s="5"/>
      <x:c r="H36" s="5"/>
      <x:c r="I36" s="5"/>
      <x:c r="J36" s="5"/>
      <x:c r="K36" s="5"/>
      <x:c r="L36" s="5"/>
      <x:c r="M36" s="3"/>
      <x:c r="N36" s="3"/>
    </x:row>
    <x:row r="37" ht="23" customHeight="1">
      <x:c r="A37" s="3"/>
      <x:c r="B37" s="3"/>
      <x:c r="C37" s="12" t="str">
        <x:v>Anthropic revenue bases - the denominator drives everything</x:v>
      </x:c>
      <x:c r="D37" s="13"/>
      <x:c r="E37" s="13"/>
      <x:c r="F37" s="13"/>
      <x:c r="G37" s="13"/>
      <x:c r="H37" s="13"/>
      <x:c r="I37" s="5"/>
      <x:c r="J37" s="5"/>
      <x:c r="K37" s="5"/>
      <x:c r="L37" s="5"/>
      <x:c r="M37" s="3"/>
      <x:c r="N37" s="3"/>
    </x:row>
    <x:row r="38" ht="21" customHeight="1">
      <x:c r="A38" s="3"/>
      <x:c r="B38" s="3"/>
      <x:c r="C38" s="32" t="str">
        <x:v>Revenue base</x:v>
      </x:c>
      <x:c r="D38" s="43" t="str">
        <x:v>Definition</x:v>
      </x:c>
      <x:c r="E38" s="43" t="str">
        <x:v>2026E recognised</x:v>
      </x:c>
      <x:c r="F38" s="43" t="str">
        <x:v>Exit-2026 ARR</x:v>
      </x:c>
      <x:c r="G38" s="43" t="str">
        <x:v>2027E</x:v>
      </x:c>
      <x:c r="H38" s="43" t="str">
        <x:v>2028E</x:v>
      </x:c>
      <x:c r="I38" s="5"/>
      <x:c r="J38" s="5"/>
      <x:c r="K38" s="5"/>
      <x:c r="L38" s="5"/>
      <x:c r="M38" s="3"/>
      <x:c r="N38" s="3"/>
    </x:row>
    <x:row r="39" ht="21" customHeight="1">
      <x:c r="A39" s="3"/>
      <x:c r="B39" s="3"/>
      <x:c r="C39" s="65" t="str">
        <x:v>$bn</x:v>
      </x:c>
      <x:c r="D39" s="66"/>
      <x:c r="E39" s="67" t="n">
        <x:f>'Inputs'!D22</x:f>
        <x:v>64</x:v>
      </x:c>
      <x:c r="F39" s="67" t="n">
        <x:f>'Inputs'!D54</x:f>
        <x:v>110</x:v>
      </x:c>
      <x:c r="G39" s="67" t="n">
        <x:f>'Valuation'!E30</x:f>
        <x:v>128</x:v>
      </x:c>
      <x:c r="H39" s="67" t="n">
        <x:f>'Inputs'!D9</x:f>
        <x:v>195</x:v>
      </x:c>
      <x:c r="I39" s="5"/>
      <x:c r="J39" s="5"/>
      <x:c r="K39" s="5"/>
      <x:c r="L39" s="5"/>
      <x:c r="M39" s="3"/>
      <x:c r="N39" s="3"/>
    </x:row>
    <x:row r="40" ht="21" customHeight="1">
      <x:c r="A40" s="3"/>
      <x:c r="B40" s="3"/>
      <x:c r="C40" s="3" t="str">
        <x:v>Classification</x:v>
      </x:c>
      <x:c r="D40" s="5"/>
      <x:c r="E40" s="63" t="str">
        <x:v>Model output</x:v>
      </x:c>
      <x:c r="F40" s="63" t="str">
        <x:v>Investor expectation</x:v>
      </x:c>
      <x:c r="G40" s="63" t="str">
        <x:v>Model output</x:v>
      </x:c>
      <x:c r="H40" s="63" t="str">
        <x:v>Reported projection</x:v>
      </x:c>
      <x:c r="I40" s="5"/>
      <x:c r="J40" s="5"/>
      <x:c r="K40" s="5"/>
      <x:c r="L40" s="5"/>
      <x:c r="M40" s="3"/>
      <x:c r="N40" s="3"/>
    </x:row>
    <x:row r="41" ht="21" customHeight="1">
      <x:c r="A41" s="3"/>
      <x:c r="B41" s="3"/>
      <x:c r="C41" s="3"/>
      <x:c r="D41" s="5"/>
      <x:c r="E41" s="5"/>
      <x:c r="F41" s="5"/>
      <x:c r="G41" s="5"/>
      <x:c r="H41" s="5"/>
      <x:c r="I41" s="5"/>
      <x:c r="J41" s="5"/>
      <x:c r="K41" s="5"/>
      <x:c r="L41" s="5"/>
      <x:c r="M41" s="3"/>
      <x:c r="N41" s="3"/>
    </x:row>
    <x:row r="42" ht="23" customHeight="1">
      <x:c r="A42" s="3"/>
      <x:c r="B42" s="3"/>
      <x:c r="C42" s="12" t="str">
        <x:v>Multiple embedded in each market mark (value / revenue base)</x:v>
      </x:c>
      <x:c r="D42" s="13"/>
      <x:c r="E42" s="13"/>
      <x:c r="F42" s="13"/>
      <x:c r="G42" s="13"/>
      <x:c r="H42" s="13"/>
      <x:c r="I42" s="5"/>
      <x:c r="J42" s="5"/>
      <x:c r="K42" s="5"/>
      <x:c r="L42" s="5"/>
      <x:c r="M42" s="3"/>
      <x:c r="N42" s="3"/>
    </x:row>
    <x:row r="43" ht="21" customHeight="1">
      <x:c r="A43" s="3"/>
      <x:c r="B43" s="3"/>
      <x:c r="C43" s="32" t="str">
        <x:v>Market mark</x:v>
      </x:c>
      <x:c r="D43" s="43" t="str">
        <x:v>Value $bn</x:v>
      </x:c>
      <x:c r="E43" s="43" t="str">
        <x:v>2026E</x:v>
      </x:c>
      <x:c r="F43" s="43" t="str">
        <x:v>Exit-2026 ARR</x:v>
      </x:c>
      <x:c r="G43" s="43" t="str">
        <x:v>2027E</x:v>
      </x:c>
      <x:c r="H43" s="43" t="str">
        <x:v>2028E</x:v>
      </x:c>
      <x:c r="I43" s="5"/>
      <x:c r="J43" s="5"/>
      <x:c r="K43" s="5"/>
      <x:c r="L43" s="5"/>
      <x:c r="M43" s="3"/>
      <x:c r="N43" s="3"/>
    </x:row>
    <x:row r="44" ht="21" customHeight="1">
      <x:c r="A44" s="3"/>
      <x:c r="B44" s="3"/>
      <x:c r="C44" s="3" t="str">
        <x:v>Series H private round (28-May-26)</x:v>
      </x:c>
      <x:c r="D44" s="61" t="n">
        <x:f>'Inputs'!D39</x:f>
        <x:v>965</x:v>
      </x:c>
      <x:c r="E44" s="57" t="n">
        <x:f>IF(AND(ISNUMBER($D44),ISNUMBER(E$39),E$39&gt;0),$D44/E$39,"n.a.")</x:f>
        <x:v>15.078125</x:v>
      </x:c>
      <x:c r="F44" s="57" t="n">
        <x:f>IF(AND(ISNUMBER($D44),ISNUMBER(F$39),F$39&gt;0),$D44/F$39,"n.a.")</x:f>
        <x:v>8.772727272727273</x:v>
      </x:c>
      <x:c r="G44" s="57" t="n">
        <x:f>IF(AND(ISNUMBER($D44),ISNUMBER(G$39),G$39&gt;0),$D44/G$39,"n.a.")</x:f>
        <x:v>7.5390625</x:v>
      </x:c>
      <x:c r="H44" s="57" t="n">
        <x:f>IF(AND(ISNUMBER($D44),ISNUMBER(H$39),H$39&gt;0),$D44/H$39,"n.a.")</x:f>
        <x:v>4.948717948717949</x:v>
      </x:c>
      <x:c r="I44" s="5"/>
      <x:c r="J44" s="5"/>
      <x:c r="K44" s="5"/>
      <x:c r="L44" s="5"/>
      <x:c r="M44" s="3"/>
      <x:c r="N44" s="3"/>
    </x:row>
    <x:row r="45" ht="21" customHeight="1">
      <x:c r="A45" s="3"/>
      <x:c r="B45" s="3"/>
      <x:c r="C45" s="3" t="str">
        <x:v>Secondary market (Oct-26)</x:v>
      </x:c>
      <x:c r="D45" s="61" t="n">
        <x:f>'Inputs'!D55</x:f>
        <x:v>1100</x:v>
      </x:c>
      <x:c r="E45" s="57" t="n">
        <x:f>IF(AND(ISNUMBER($D45),ISNUMBER(E$39),E$39&gt;0),$D45/E$39,"n.a.")</x:f>
        <x:v>17.1875</x:v>
      </x:c>
      <x:c r="F45" s="57" t="n">
        <x:f>IF(AND(ISNUMBER($D45),ISNUMBER(F$39),F$39&gt;0),$D45/F$39,"n.a.")</x:f>
        <x:v>10</x:v>
      </x:c>
      <x:c r="G45" s="57" t="n">
        <x:f>IF(AND(ISNUMBER($D45),ISNUMBER(G$39),G$39&gt;0),$D45/G$39,"n.a.")</x:f>
        <x:v>8.59375</x:v>
      </x:c>
      <x:c r="H45" s="57" t="n">
        <x:f>IF(AND(ISNUMBER($D45),ISNUMBER(H$39),H$39&gt;0),$D45/H$39,"n.a.")</x:f>
        <x:v>5.641025641025641</x:v>
      </x:c>
      <x:c r="I45" s="5"/>
      <x:c r="J45" s="5"/>
      <x:c r="K45" s="5"/>
      <x:c r="L45" s="5"/>
      <x:c r="M45" s="3"/>
      <x:c r="N45" s="3"/>
    </x:row>
    <x:row r="46" ht="21" customHeight="1">
      <x:c r="A46" s="3"/>
      <x:c r="B46" s="3"/>
      <x:c r="C46" s="3" t="str">
        <x:v>Institutional fair value, low</x:v>
      </x:c>
      <x:c r="D46" s="61" t="n">
        <x:f>'Inputs'!D56</x:f>
        <x:v>1800</x:v>
      </x:c>
      <x:c r="E46" s="57" t="n">
        <x:f>IF(AND(ISNUMBER($D46),ISNUMBER(E$39),E$39&gt;0),$D46/E$39,"n.a.")</x:f>
        <x:v>28.125</x:v>
      </x:c>
      <x:c r="F46" s="57" t="n">
        <x:f>IF(AND(ISNUMBER($D46),ISNUMBER(F$39),F$39&gt;0),$D46/F$39,"n.a.")</x:f>
        <x:v>16.363636363636363</x:v>
      </x:c>
      <x:c r="G46" s="57" t="n">
        <x:f>IF(AND(ISNUMBER($D46),ISNUMBER(G$39),G$39&gt;0),$D46/G$39,"n.a.")</x:f>
        <x:v>14.0625</x:v>
      </x:c>
      <x:c r="H46" s="57" t="n">
        <x:f>IF(AND(ISNUMBER($D46),ISNUMBER(H$39),H$39&gt;0),$D46/H$39,"n.a.")</x:f>
        <x:v>9.23076923076923</x:v>
      </x:c>
      <x:c r="I46" s="5"/>
      <x:c r="J46" s="5"/>
      <x:c r="K46" s="5"/>
      <x:c r="L46" s="5"/>
      <x:c r="M46" s="3"/>
      <x:c r="N46" s="3"/>
    </x:row>
    <x:row r="47" ht="21" customHeight="1">
      <x:c r="A47" s="3"/>
      <x:c r="B47" s="3"/>
      <x:c r="C47" s="3" t="str">
        <x:v>IPO target / fair value, high</x:v>
      </x:c>
      <x:c r="D47" s="61" t="n">
        <x:f>'Inputs'!D57</x:f>
        <x:v>2000</x:v>
      </x:c>
      <x:c r="E47" s="57" t="n">
        <x:f>IF(AND(ISNUMBER($D47),ISNUMBER(E$39),E$39&gt;0),$D47/E$39,"n.a.")</x:f>
        <x:v>31.25</x:v>
      </x:c>
      <x:c r="F47" s="57" t="n">
        <x:f>IF(AND(ISNUMBER($D47),ISNUMBER(F$39),F$39&gt;0),$D47/F$39,"n.a.")</x:f>
        <x:v>18.181818181818183</x:v>
      </x:c>
      <x:c r="G47" s="57" t="n">
        <x:f>IF(AND(ISNUMBER($D47),ISNUMBER(G$39),G$39&gt;0),$D47/G$39,"n.a.")</x:f>
        <x:v>15.625</x:v>
      </x:c>
      <x:c r="H47" s="57" t="n">
        <x:f>IF(AND(ISNUMBER($D47),ISNUMBER(H$39),H$39&gt;0),$D47/H$39,"n.a.")</x:f>
        <x:v>10.256410256410257</x:v>
      </x:c>
      <x:c r="I47" s="5"/>
      <x:c r="J47" s="5"/>
      <x:c r="K47" s="5"/>
      <x:c r="L47" s="5"/>
      <x:c r="M47" s="3"/>
      <x:c r="N47" s="3"/>
    </x:row>
    <x:row r="48" ht="21" customHeight="1">
      <x:c r="A48" s="3"/>
      <x:c r="B48" s="3"/>
      <x:c r="C48" s="3" t="str">
        <x:v>Pre-IPO perpetual futures (17-Sep-26)</x:v>
      </x:c>
      <x:c r="D48" s="61" t="n">
        <x:f>'Inputs'!D58</x:f>
        <x:v>2150</x:v>
      </x:c>
      <x:c r="E48" s="57" t="n">
        <x:f>IF(AND(ISNUMBER($D48),ISNUMBER(E$39),E$39&gt;0),$D48/E$39,"n.a.")</x:f>
        <x:v>33.59375</x:v>
      </x:c>
      <x:c r="F48" s="57" t="n">
        <x:f>IF(AND(ISNUMBER($D48),ISNUMBER(F$39),F$39&gt;0),$D48/F$39,"n.a.")</x:f>
        <x:v>19.545454545454547</x:v>
      </x:c>
      <x:c r="G48" s="57" t="n">
        <x:f>IF(AND(ISNUMBER($D48),ISNUMBER(G$39),G$39&gt;0),$D48/G$39,"n.a.")</x:f>
        <x:v>16.796875</x:v>
      </x:c>
      <x:c r="H48" s="57" t="n">
        <x:f>IF(AND(ISNUMBER($D48),ISNUMBER(H$39),H$39&gt;0),$D48/H$39,"n.a.")</x:f>
        <x:v>11.025641025641026</x:v>
      </x:c>
      <x:c r="I48" s="5"/>
      <x:c r="J48" s="5"/>
      <x:c r="K48" s="5"/>
      <x:c r="L48" s="5"/>
      <x:c r="M48" s="3"/>
      <x:c r="N48" s="3"/>
    </x:row>
    <x:row r="49" ht="21" customHeight="1">
      <x:c r="A49" s="3"/>
      <x:c r="B49" s="3"/>
      <x:c r="C49" s="40" t="str">
        <x:v>Read across a row: the same mark looks cheap or expensive purely by moving the denominator.</x:v>
      </x:c>
      <x:c r="D49" s="5"/>
      <x:c r="E49" s="5"/>
      <x:c r="F49" s="5"/>
      <x:c r="G49" s="5"/>
      <x:c r="H49" s="5"/>
      <x:c r="I49" s="5"/>
      <x:c r="J49" s="5"/>
      <x:c r="K49" s="5"/>
      <x:c r="L49" s="5"/>
      <x:c r="M49" s="3"/>
      <x:c r="N49" s="3"/>
    </x:row>
    <x:row r="50" ht="21" customHeight="1">
      <x:c r="A50" s="3"/>
      <x:c r="B50" s="3"/>
      <x:c r="C50" s="3"/>
      <x:c r="D50" s="5"/>
      <x:c r="E50" s="5"/>
      <x:c r="F50" s="5"/>
      <x:c r="G50" s="5"/>
      <x:c r="H50" s="5"/>
      <x:c r="I50" s="5"/>
      <x:c r="J50" s="5"/>
      <x:c r="K50" s="5"/>
      <x:c r="L50" s="5"/>
      <x:c r="M50" s="3"/>
      <x:c r="N50" s="3"/>
    </x:row>
    <x:row r="51" ht="23" customHeight="1">
      <x:c r="A51" s="3"/>
      <x:c r="B51" s="3"/>
      <x:c r="C51" s="12" t="str">
        <x:v>Implied equity value ($bn) = peer multiple x Anthropic revenue base</x:v>
      </x:c>
      <x:c r="D51" s="13"/>
      <x:c r="E51" s="13"/>
      <x:c r="F51" s="13"/>
      <x:c r="G51" s="13"/>
      <x:c r="H51" s="13"/>
      <x:c r="I51" s="5"/>
      <x:c r="J51" s="5"/>
      <x:c r="K51" s="5"/>
      <x:c r="L51" s="5"/>
      <x:c r="M51" s="3"/>
      <x:c r="N51" s="3"/>
    </x:row>
    <x:row r="52" ht="21" customHeight="1">
      <x:c r="A52" s="3"/>
      <x:c r="B52" s="3"/>
      <x:c r="C52" s="32" t="str">
        <x:v>Multiple applied</x:v>
      </x:c>
      <x:c r="D52" s="43" t="str">
        <x:v>Multiple (x)</x:v>
      </x:c>
      <x:c r="E52" s="43" t="str">
        <x:v>2026E recognised</x:v>
      </x:c>
      <x:c r="F52" s="43" t="str">
        <x:v>Exit-2026 ARR</x:v>
      </x:c>
      <x:c r="G52" s="43" t="str">
        <x:v>2027E</x:v>
      </x:c>
      <x:c r="H52" s="43" t="str">
        <x:v>2028E</x:v>
      </x:c>
      <x:c r="I52" s="5"/>
      <x:c r="J52" s="5"/>
      <x:c r="K52" s="5"/>
      <x:c r="L52" s="5"/>
      <x:c r="M52" s="3"/>
      <x:c r="N52" s="3"/>
    </x:row>
    <x:row r="53" ht="21" customHeight="1">
      <x:c r="A53" s="3"/>
      <x:c r="B53" s="3"/>
      <x:c r="C53" s="3" t="str">
        <x:v>Tier 1 frontier-lab median</x:v>
      </x:c>
      <x:c r="D53" s="57" t="n">
        <x:f>MEDIAN(J7:J8)</x:f>
        <x:v>14.657142857142857</x:v>
      </x:c>
      <x:c r="E53" s="19" t="n">
        <x:f>IF(ISNUMBER($D53),$D53*E$39,"n.a.")</x:f>
        <x:v>938.0571428571428</x:v>
      </x:c>
      <x:c r="F53" s="19" t="n">
        <x:f>IF(ISNUMBER($D53),$D53*F$39,"n.a.")</x:f>
        <x:v>1612.2857142857142</x:v>
      </x:c>
      <x:c r="G53" s="19" t="n">
        <x:f>IF(ISNUMBER($D53),$D53*G$39,"n.a.")</x:f>
        <x:v>1876.1142857142856</x:v>
      </x:c>
      <x:c r="H53" s="19" t="n">
        <x:f>IF(ISNUMBER($D53),$D53*H$39,"n.a.")</x:f>
        <x:v>2858.142857142857</x:v>
      </x:c>
      <x:c r="I53" s="5"/>
      <x:c r="J53" s="5"/>
      <x:c r="K53" s="5"/>
      <x:c r="L53" s="5"/>
      <x:c r="M53" s="3"/>
      <x:c r="N53" s="3"/>
    </x:row>
    <x:row r="54" ht="21" customHeight="1">
      <x:c r="A54" s="3"/>
      <x:c r="B54" s="3"/>
      <x:c r="C54" s="3" t="str">
        <x:v>Tier 1 - OpenAI Oct secondary</x:v>
      </x:c>
      <x:c r="D54" s="57" t="n">
        <x:f>J8</x:f>
        <x:v>17.142857142857142</x:v>
      </x:c>
      <x:c r="E54" s="19" t="n">
        <x:f>IF(ISNUMBER($D54),$D54*E$39,"n.a.")</x:f>
        <x:v>1097.142857142857</x:v>
      </x:c>
      <x:c r="F54" s="19" t="n">
        <x:f>IF(ISNUMBER($D54),$D54*F$39,"n.a.")</x:f>
        <x:v>1885.7142857142856</x:v>
      </x:c>
      <x:c r="G54" s="19" t="n">
        <x:f>IF(ISNUMBER($D54),$D54*G$39,"n.a.")</x:f>
        <x:v>2194.285714285714</x:v>
      </x:c>
      <x:c r="H54" s="19" t="n">
        <x:f>IF(ISNUMBER($D54),$D54*H$39,"n.a.")</x:f>
        <x:v>3342.8571428571427</x:v>
      </x:c>
      <x:c r="I54" s="5"/>
      <x:c r="J54" s="5"/>
      <x:c r="K54" s="5"/>
      <x:c r="L54" s="5"/>
      <x:c r="M54" s="3"/>
      <x:c r="N54" s="3"/>
    </x:row>
    <x:row r="55" ht="21" customHeight="1">
      <x:c r="A55" s="3"/>
      <x:c r="B55" s="3"/>
      <x:c r="C55" s="3" t="str">
        <x:v>Tier 2 AI-software median</x:v>
      </x:c>
      <x:c r="D55" s="57" t="n">
        <x:f>MEDIAN(J16:J20)</x:f>
        <x:v>41.6</x:v>
      </x:c>
      <x:c r="E55" s="19" t="n">
        <x:f>IF(ISNUMBER($D55),$D55*E$39,"n.a.")</x:f>
        <x:v>2662.4</x:v>
      </x:c>
      <x:c r="F55" s="19" t="n">
        <x:f>IF(ISNUMBER($D55),$D55*F$39,"n.a.")</x:f>
        <x:v>4576</x:v>
      </x:c>
      <x:c r="G55" s="19" t="n">
        <x:f>IF(ISNUMBER($D55),$D55*G$39,"n.a.")</x:f>
        <x:v>5324.8</x:v>
      </x:c>
      <x:c r="H55" s="19" t="n">
        <x:f>IF(ISNUMBER($D55),$D55*H$39,"n.a.")</x:f>
        <x:v>8112</x:v>
      </x:c>
      <x:c r="I55" s="5"/>
      <x:c r="J55" s="5"/>
      <x:c r="K55" s="5"/>
      <x:c r="L55" s="5"/>
      <x:c r="M55" s="3"/>
      <x:c r="N55" s="3"/>
    </x:row>
    <x:row r="56" ht="21" customHeight="1">
      <x:c r="A56" s="3"/>
      <x:c r="B56" s="3"/>
      <x:c r="C56" s="3" t="str">
        <x:v>Tier 2 AI-software mean</x:v>
      </x:c>
      <x:c r="D56" s="57" t="n">
        <x:f>AVERAGE(J16:J20)</x:f>
        <x:v>34.873183822037994</x:v>
      </x:c>
      <x:c r="E56" s="19" t="n">
        <x:f>IF(ISNUMBER($D56),$D56*E$39,"n.a.")</x:f>
        <x:v>2231.8837646104316</x:v>
      </x:c>
      <x:c r="F56" s="19" t="n">
        <x:f>IF(ISNUMBER($D56),$D56*F$39,"n.a.")</x:f>
        <x:v>3836.0502204241793</x:v>
      </x:c>
      <x:c r="G56" s="19" t="n">
        <x:f>IF(ISNUMBER($D56),$D56*G$39,"n.a.")</x:f>
        <x:v>4463.767529220863</x:v>
      </x:c>
      <x:c r="H56" s="19" t="n">
        <x:f>IF(ISNUMBER($D56),$D56*H$39,"n.a.")</x:f>
        <x:v>6800.270845297408</x:v>
      </x:c>
      <x:c r="I56" s="5"/>
      <x:c r="J56" s="5"/>
      <x:c r="K56" s="5"/>
      <x:c r="L56" s="5"/>
      <x:c r="M56" s="3"/>
      <x:c r="N56" s="3"/>
    </x:row>
    <x:row r="57" ht="21" customHeight="1">
      <x:c r="A57" s="3"/>
      <x:c r="B57" s="3"/>
      <x:c r="C57" s="3" t="str">
        <x:v>Tier 3 neocloud median</x:v>
      </x:c>
      <x:c r="D57" s="57" t="n">
        <x:f>MEDIAN(J25:J26)</x:f>
        <x:v>12.192551237432328</x:v>
      </x:c>
      <x:c r="E57" s="19" t="n">
        <x:f>IF(ISNUMBER($D57),$D57*E$39,"n.a.")</x:f>
        <x:v>780.323279195669</x:v>
      </x:c>
      <x:c r="F57" s="19" t="n">
        <x:f>IF(ISNUMBER($D57),$D57*F$39,"n.a.")</x:f>
        <x:v>1341.180636117556</x:v>
      </x:c>
      <x:c r="G57" s="19" t="n">
        <x:f>IF(ISNUMBER($D57),$D57*G$39,"n.a.")</x:f>
        <x:v>1560.646558391338</x:v>
      </x:c>
      <x:c r="H57" s="19" t="n">
        <x:f>IF(ISNUMBER($D57),$D57*H$39,"n.a.")</x:f>
        <x:v>2377.547491299304</x:v>
      </x:c>
      <x:c r="I57" s="5"/>
      <x:c r="J57" s="5"/>
      <x:c r="K57" s="5"/>
      <x:c r="L57" s="5"/>
      <x:c r="M57" s="3"/>
      <x:c r="N57" s="3"/>
    </x:row>
    <x:row r="58" ht="21" customHeight="1">
      <x:c r="A58" s="3"/>
      <x:c r="B58" s="3"/>
      <x:c r="C58" s="3"/>
      <x:c r="D58" s="5"/>
      <x:c r="E58" s="5"/>
      <x:c r="F58" s="5"/>
      <x:c r="G58" s="5"/>
      <x:c r="H58" s="5"/>
      <x:c r="I58" s="5"/>
      <x:c r="J58" s="5"/>
      <x:c r="K58" s="5"/>
      <x:c r="L58" s="5"/>
      <x:c r="M58" s="3"/>
      <x:c r="N58" s="3"/>
    </x:row>
    <x:row r="59" ht="23" customHeight="1">
      <x:c r="A59" s="3"/>
      <x:c r="B59" s="3"/>
      <x:c r="C59" s="12" t="str">
        <x:v>Selected comparable-company value</x:v>
      </x:c>
      <x:c r="D59" s="13"/>
      <x:c r="E59" s="13"/>
      <x:c r="F59" s="13"/>
      <x:c r="G59" s="13"/>
      <x:c r="H59" s="13"/>
      <x:c r="I59" s="5"/>
      <x:c r="J59" s="5"/>
      <x:c r="K59" s="5"/>
      <x:c r="L59" s="5"/>
      <x:c r="M59" s="3"/>
      <x:c r="N59" s="3"/>
    </x:row>
    <x:row r="60" ht="21" customHeight="1">
      <x:c r="A60" s="3"/>
      <x:c r="B60" s="3"/>
      <x:c r="C60" s="51" t="str">
        <x:v>Selected peer multiple (x)</x:v>
      </x:c>
      <x:c r="D60" s="58" t="n">
        <x:f>D54</x:f>
        <x:v>17.142857142857142</x:v>
      </x:c>
      <x:c r="E60" s="4"/>
      <x:c r="F60" s="4"/>
      <x:c r="G60" s="4"/>
      <x:c r="H60" s="4"/>
      <x:c r="I60" s="5"/>
      <x:c r="J60" s="5"/>
      <x:c r="K60" s="5"/>
      <x:c r="L60" s="5"/>
      <x:c r="M60" s="3"/>
      <x:c r="N60" s="3"/>
    </x:row>
    <x:row r="61" ht="21" customHeight="1">
      <x:c r="A61" s="3"/>
      <x:c r="B61" s="3"/>
      <x:c r="C61" s="51" t="str">
        <x:v>Selected revenue base ($bn)</x:v>
      </x:c>
      <x:c r="D61" s="68" t="n">
        <x:f>F39</x:f>
        <x:v>110</x:v>
      </x:c>
      <x:c r="E61" s="4"/>
      <x:c r="F61" s="4"/>
      <x:c r="G61" s="4"/>
      <x:c r="H61" s="4"/>
      <x:c r="I61" s="5"/>
      <x:c r="J61" s="5"/>
      <x:c r="K61" s="5"/>
      <x:c r="L61" s="5"/>
      <x:c r="M61" s="3"/>
      <x:c r="N61" s="3"/>
    </x:row>
    <x:row r="62" ht="21" customHeight="1">
      <x:c r="A62" s="3"/>
      <x:c r="B62" s="3"/>
      <x:c r="C62" s="65" t="str">
        <x:v>Comparable-company enterprise value ($bn)</x:v>
      </x:c>
      <x:c r="D62" s="70" t="n">
        <x:f>D60*D61</x:f>
        <x:v>1885.7142857142856</x:v>
      </x:c>
      <x:c r="E62" s="71"/>
      <x:c r="F62" s="71"/>
      <x:c r="G62" s="71"/>
      <x:c r="H62" s="71"/>
      <x:c r="I62" s="5"/>
      <x:c r="J62" s="5"/>
      <x:c r="K62" s="5"/>
      <x:c r="L62" s="5"/>
      <x:c r="M62" s="3"/>
      <x:c r="N62" s="3"/>
    </x:row>
    <x:row r="63" ht="21" customHeight="1">
      <x:c r="A63" s="3"/>
      <x:c r="B63" s="3"/>
      <x:c r="C63" s="40" t="str">
        <x:v>Only like-for-like pairing available: a private frontier lab multiple on a frontier lab ARR base.</x:v>
      </x:c>
      <x:c r="D63" s="5"/>
      <x:c r="E63" s="4"/>
      <x:c r="F63" s="4"/>
      <x:c r="G63" s="4"/>
      <x:c r="H63" s="4"/>
      <x:c r="I63" s="5"/>
      <x:c r="J63" s="5"/>
      <x:c r="K63" s="5"/>
      <x:c r="L63" s="5"/>
      <x:c r="M63" s="3"/>
      <x:c r="N63" s="3"/>
    </x:row>
    <x:row r="64" ht="21" customHeight="1">
      <x:c r="A64" s="3"/>
      <x:c r="B64" s="3"/>
      <x:c r="C64" s="40" t="str">
        <x:v>Tier 2 multiples embed a capital-light margin profile Anthropic does not have; Tier 3 embeds the opposite.</x:v>
      </x:c>
      <x:c r="D64" s="5"/>
      <x:c r="E64" s="4"/>
      <x:c r="F64" s="4"/>
      <x:c r="G64" s="4"/>
      <x:c r="H64" s="4"/>
      <x:c r="I64" s="5"/>
      <x:c r="J64" s="5"/>
      <x:c r="K64" s="5"/>
      <x:c r="L64" s="5"/>
      <x:c r="M64" s="3"/>
      <x:c r="N64" s="3"/>
    </x:row>
    <x:row r="65" ht="21" customHeight="1">
      <x:c r="A65" s="3"/>
      <x:c r="B65" s="3"/>
      <x:c r="C65" s="3"/>
      <x:c r="D65" s="5"/>
      <x:c r="E65" s="5"/>
      <x:c r="F65" s="5"/>
      <x:c r="G65" s="5"/>
      <x:c r="H65" s="5"/>
      <x:c r="I65" s="5"/>
      <x:c r="J65" s="5"/>
      <x:c r="K65" s="5"/>
      <x:c r="L65" s="5"/>
      <x:c r="M65" s="3"/>
      <x:c r="N65" s="3"/>
    </x:row>
    <x:row r="66" ht="23" customHeight="1">
      <x:c r="A66" s="3"/>
      <x:c r="B66" s="3"/>
      <x:c r="C66" s="12" t="str">
        <x:v>Peer multiple statistics - value or EV / revenue (x)</x:v>
      </x:c>
      <x:c r="D66" s="13"/>
      <x:c r="E66" s="13"/>
      <x:c r="F66" s="13"/>
      <x:c r="G66" s="5"/>
      <x:c r="H66" s="5"/>
      <x:c r="I66" s="5"/>
      <x:c r="J66" s="5"/>
      <x:c r="K66" s="5"/>
      <x:c r="L66" s="5"/>
      <x:c r="M66" s="3"/>
      <x:c r="N66" s="3"/>
    </x:row>
    <x:row r="67" ht="21" customHeight="1">
      <x:c r="A67" s="3"/>
      <x:c r="B67" s="3"/>
      <x:c r="C67" s="32" t="str">
        <x:v>Statistic</x:v>
      </x:c>
      <x:c r="D67" s="43" t="str">
        <x:v>Tier 1 (labs)</x:v>
      </x:c>
      <x:c r="E67" s="43" t="str">
        <x:v>Tier 2 (software)</x:v>
      </x:c>
      <x:c r="F67" s="43" t="str">
        <x:v>Tier 3 (neocloud)</x:v>
      </x:c>
      <x:c r="G67" s="5"/>
      <x:c r="H67" s="5"/>
      <x:c r="I67" s="5"/>
      <x:c r="J67" s="5"/>
      <x:c r="K67" s="5"/>
      <x:c r="L67" s="5"/>
      <x:c r="M67" s="3"/>
      <x:c r="N67" s="3"/>
    </x:row>
    <x:row r="68" ht="21" customHeight="1">
      <x:c r="A68" s="3"/>
      <x:c r="B68" s="3"/>
      <x:c r="C68" s="3" t="str">
        <x:v>Median</x:v>
      </x:c>
      <x:c r="D68" s="57" t="n">
        <x:f>MEDIAN(J7:J8)</x:f>
        <x:v>14.657142857142857</x:v>
      </x:c>
      <x:c r="E68" s="57" t="n">
        <x:f>MEDIAN(J16:J20)</x:f>
        <x:v>41.6</x:v>
      </x:c>
      <x:c r="F68" s="57" t="n">
        <x:f>MEDIAN(J25:J26)</x:f>
        <x:v>12.192551237432328</x:v>
      </x:c>
      <x:c r="G68" s="5"/>
      <x:c r="H68" s="5"/>
      <x:c r="I68" s="5"/>
      <x:c r="J68" s="5"/>
      <x:c r="K68" s="5"/>
      <x:c r="L68" s="5"/>
      <x:c r="M68" s="3"/>
      <x:c r="N68" s="3"/>
    </x:row>
    <x:row r="69" ht="21" customHeight="1">
      <x:c r="A69" s="3"/>
      <x:c r="B69" s="3"/>
      <x:c r="C69" s="3" t="str">
        <x:v>Mean</x:v>
      </x:c>
      <x:c r="D69" s="57" t="n">
        <x:f>AVERAGE(J7:J8)</x:f>
        <x:v>14.657142857142857</x:v>
      </x:c>
      <x:c r="E69" s="57" t="n">
        <x:f>AVERAGE(J16:J20)</x:f>
        <x:v>34.873183822037994</x:v>
      </x:c>
      <x:c r="F69" s="57" t="n">
        <x:f>AVERAGE(J25:J26)</x:f>
        <x:v>12.192551237432328</x:v>
      </x:c>
      <x:c r="G69" s="5"/>
      <x:c r="H69" s="5"/>
      <x:c r="I69" s="5"/>
      <x:c r="J69" s="5"/>
      <x:c r="K69" s="5"/>
      <x:c r="L69" s="5"/>
      <x:c r="M69" s="3"/>
      <x:c r="N69" s="3"/>
    </x:row>
    <x:row r="70" ht="21" customHeight="1">
      <x:c r="A70" s="3"/>
      <x:c r="B70" s="3"/>
      <x:c r="C70" s="3" t="str">
        <x:v>Low</x:v>
      </x:c>
      <x:c r="D70" s="57" t="n">
        <x:f>MIN(J7:J8)</x:f>
        <x:v>12.17142857142857</x:v>
      </x:c>
      <x:c r="E70" s="57" t="n">
        <x:f>MIN(J16:J20)</x:f>
        <x:v>13.689839572192513</x:v>
      </x:c>
      <x:c r="F70" s="57" t="n">
        <x:f>MIN(J25:J26)</x:f>
        <x:v>6.697602474864656</x:v>
      </x:c>
      <x:c r="G70" s="5"/>
      <x:c r="H70" s="5"/>
      <x:c r="I70" s="5"/>
      <x:c r="J70" s="5"/>
      <x:c r="K70" s="5"/>
      <x:c r="L70" s="5"/>
      <x:c r="M70" s="3"/>
      <x:c r="N70" s="3"/>
    </x:row>
    <x:row r="71" ht="21" customHeight="1">
      <x:c r="A71" s="3"/>
      <x:c r="B71" s="3"/>
      <x:c r="C71" s="3" t="str">
        <x:v>High</x:v>
      </x:c>
      <x:c r="D71" s="57" t="n">
        <x:f>MAX(J7:J8)</x:f>
        <x:v>17.142857142857142</x:v>
      </x:c>
      <x:c r="E71" s="57" t="n">
        <x:f>MAX(J16:J20)</x:f>
        <x:v>53.00613496932515</x:v>
      </x:c>
      <x:c r="F71" s="57" t="n">
        <x:f>MAX(J25:J26)</x:f>
        <x:v>17.6875</x:v>
      </x:c>
      <x:c r="G71" s="5"/>
      <x:c r="H71" s="5"/>
      <x:c r="I71" s="5"/>
      <x:c r="J71" s="5"/>
      <x:c r="K71" s="5"/>
      <x:c r="L71" s="5"/>
      <x:c r="M71" s="3"/>
      <x:c r="N71" s="3"/>
    </x:row>
    <x:row r="72" ht="21" customHeight="1">
      <x:c r="A72" s="3"/>
      <x:c r="B72" s="3"/>
      <x:c r="C72" s="3" t="str">
        <x:v>Observations (n)</x:v>
      </x:c>
      <x:c r="D72" s="72" t="n">
        <x:f>COUNT(J7:J8)</x:f>
        <x:v>2</x:v>
      </x:c>
      <x:c r="E72" s="72" t="n">
        <x:f>COUNT(J16:J20)</x:f>
        <x:v>5</x:v>
      </x:c>
      <x:c r="F72" s="72" t="n">
        <x:f>COUNT(J25:J26)</x:f>
        <x:v>2</x:v>
      </x:c>
      <x:c r="G72" s="5"/>
      <x:c r="H72" s="5"/>
      <x:c r="I72" s="5"/>
      <x:c r="J72" s="5"/>
      <x:c r="K72" s="5"/>
      <x:c r="L72" s="5"/>
      <x:c r="M72" s="3"/>
      <x:c r="N72" s="3"/>
    </x:row>
    <x:row r="73" ht="21" customHeight="1">
      <x:c r="A73" s="3"/>
      <x:c r="B73" s="3"/>
      <x:c r="C73" s="3"/>
      <x:c r="D73" s="5"/>
      <x:c r="E73" s="5"/>
      <x:c r="F73" s="5"/>
      <x:c r="G73" s="5"/>
      <x:c r="H73" s="5"/>
      <x:c r="I73" s="5"/>
      <x:c r="J73" s="5"/>
      <x:c r="K73" s="5"/>
      <x:c r="L73" s="5"/>
      <x:c r="M73" s="3"/>
      <x:c r="N73" s="3"/>
    </x:row>
    <x:row r="74" ht="23" customHeight="1">
      <x:c r="A74" s="3"/>
      <x:c r="B74" s="3"/>
      <x:c r="C74" s="12" t="str">
        <x:v>Why this peer set is imperfect</x:v>
      </x:c>
      <x:c r="D74" s="13"/>
      <x:c r="E74" s="13"/>
      <x:c r="F74" s="13"/>
      <x:c r="G74" s="13"/>
      <x:c r="H74" s="13"/>
      <x:c r="I74" s="13"/>
      <x:c r="J74" s="13"/>
      <x:c r="K74" s="13"/>
      <x:c r="L74" s="13"/>
      <x:c r="M74" s="3"/>
      <x:c r="N74" s="3"/>
    </x:row>
    <x:row r="75" ht="21" customHeight="1">
      <x:c r="A75" s="3"/>
      <x:c r="B75" s="3"/>
      <x:c r="C75" s="9" t="str">
        <x:v>No listed company combines frontier-model development with Anthropic growth and capital intensity. Every comp is partial.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3"/>
      <x:c r="N75" s="3"/>
    </x:row>
    <x:row r="76" ht="21" customHeight="1">
      <x:c r="A76" s="3"/>
      <x:c r="B76" s="3"/>
      <x:c r="C76" s="9" t="str">
        <x:v>Tier 1 marks are negotiated or secondary prints, not exchange prices. OpenAI alone spans 12.2x to 17.1x on one revenue base.</x:v>
      </x:c>
      <x:c r="D76" s="5"/>
      <x:c r="E76" s="5"/>
      <x:c r="F76" s="5"/>
      <x:c r="G76" s="5"/>
      <x:c r="H76" s="5"/>
      <x:c r="I76" s="5"/>
      <x:c r="J76" s="5"/>
      <x:c r="K76" s="5"/>
      <x:c r="L76" s="5"/>
      <x:c r="M76" s="3"/>
      <x:c r="N76" s="3"/>
    </x:row>
    <x:row r="77" ht="21" customHeight="1">
      <x:c r="A77" s="3"/>
      <x:c r="B77" s="3"/>
      <x:c r="C77" s="9" t="str">
        <x:v>Tier 2 firms are capital-light. Their multiples embed a margin and capex profile Anthropic has not demonstrated.</x:v>
      </x:c>
      <x:c r="D77" s="5"/>
      <x:c r="E77" s="5"/>
      <x:c r="F77" s="5"/>
      <x:c r="G77" s="5"/>
      <x:c r="H77" s="5"/>
      <x:c r="I77" s="5"/>
      <x:c r="J77" s="5"/>
      <x:c r="K77" s="5"/>
      <x:c r="L77" s="5"/>
      <x:c r="M77" s="3"/>
      <x:c r="N77" s="3"/>
    </x:row>
    <x:row r="78" ht="21" customHeight="1">
      <x:c r="A78" s="3"/>
      <x:c r="B78" s="3"/>
      <x:c r="C78" s="9" t="str">
        <x:v>Tier 3 matches the compute-commitment profile but not the software margin profile.</x:v>
      </x:c>
      <x:c r="D78" s="5"/>
      <x:c r="E78" s="5"/>
      <x:c r="F78" s="5"/>
      <x:c r="G78" s="5"/>
      <x:c r="H78" s="5"/>
      <x:c r="I78" s="5"/>
      <x:c r="J78" s="5"/>
      <x:c r="K78" s="5"/>
      <x:c r="L78" s="5"/>
      <x:c r="M78" s="3"/>
      <x:c r="N78" s="3"/>
    </x:row>
    <x:row r="79" ht="21" customHeight="1">
      <x:c r="A79" s="3"/>
      <x:c r="B79" s="3"/>
      <x:c r="C79" s="9" t="str">
        <x:v>Anthropic gross versus net revenue recognition is unresolved. Channel distribution fees were 35.1% of sales in 2025 [S3].</x:v>
      </x:c>
      <x:c r="D79" s="5"/>
      <x:c r="E79" s="5"/>
      <x:c r="F79" s="5"/>
      <x:c r="G79" s="5"/>
      <x:c r="H79" s="5"/>
      <x:c r="I79" s="5"/>
      <x:c r="J79" s="5"/>
      <x:c r="K79" s="5"/>
      <x:c r="L79" s="5"/>
      <x:c r="M79" s="3"/>
      <x:c r="N79" s="3"/>
    </x:row>
    <x:row r="80" ht="21" customHeight="1">
      <x:c r="A80" s="3"/>
      <x:c r="B80" s="3"/>
      <x:c r="C80" s="9" t="str">
        <x:v>If revenue is restated net of channel fees, every multiple in this sheet rises and every implied value falls proportionally.</x:v>
      </x:c>
      <x:c r="D80" s="5"/>
      <x:c r="E80" s="5"/>
      <x:c r="F80" s="5"/>
      <x:c r="G80" s="5"/>
      <x:c r="H80" s="5"/>
      <x:c r="I80" s="5"/>
      <x:c r="J80" s="5"/>
      <x:c r="K80" s="5"/>
      <x:c r="L80" s="5"/>
      <x:c r="M80" s="3"/>
      <x:c r="N80" s="3"/>
    </x:row>
    <x:row r="81" ht="21" customHeight="1">
      <x:c r="A81" s="3"/>
      <x:c r="B81" s="3"/>
      <x:c r="C81" s="3"/>
      <x:c r="D81" s="5"/>
      <x:c r="E81" s="5"/>
      <x:c r="F81" s="5"/>
      <x:c r="G81" s="5"/>
      <x:c r="H81" s="5"/>
      <x:c r="I81" s="5"/>
      <x:c r="J81" s="5"/>
      <x:c r="K81" s="5"/>
      <x:c r="L81" s="5"/>
      <x:c r="M81" s="3"/>
      <x:c r="N81" s="3"/>
    </x:row>
    <x:row r="82" ht="21" customHeight="1">
      <x:c r="A82" s="3"/>
      <x:c r="B82" s="3"/>
      <x:c r="C82" s="49" t="str">
        <x:v>This sheet supports research only. It is not a personal investment recommendation.</x:v>
      </x:c>
      <x:c r="D82" s="5"/>
      <x:c r="E82" s="5"/>
      <x:c r="F82" s="5"/>
      <x:c r="G82" s="5"/>
      <x:c r="H82" s="5"/>
      <x:c r="I82" s="5"/>
      <x:c r="J82" s="5"/>
      <x:c r="K82" s="5"/>
      <x:c r="L82" s="5"/>
      <x:c r="M82" s="3"/>
      <x:c r="N82" s="3"/>
    </x:row>
    <x:row r="83" ht="21" customHeight="1">
      <x:c r="A83" s="3"/>
      <x:c r="B83" s="3"/>
      <x:c r="C83" s="3"/>
      <x:c r="D83" s="5"/>
      <x:c r="E83" s="5"/>
      <x:c r="F83" s="5"/>
      <x:c r="G83" s="5"/>
      <x:c r="H83" s="5"/>
      <x:c r="I83" s="5"/>
      <x:c r="J83" s="5"/>
      <x:c r="K83" s="5"/>
      <x:c r="L83" s="5"/>
      <x:c r="M83" s="3"/>
      <x:c r="N83" s="3"/>
    </x:row>
    <x:row r="84" ht="21" customHeight="1">
      <x:c r="A84" s="3"/>
      <x:c r="B84" s="3"/>
      <x:c r="C84" s="3"/>
      <x:c r="D84" s="5"/>
      <x:c r="E84" s="5"/>
      <x:c r="F84" s="5"/>
      <x:c r="G84" s="5"/>
      <x:c r="H84" s="5"/>
      <x:c r="I84" s="5"/>
      <x:c r="J84" s="5"/>
      <x:c r="K84" s="5"/>
      <x:c r="L84" s="5"/>
      <x:c r="M84" s="3"/>
      <x:c r="N84" s="3"/>
    </x:row>
    <x:row r="85" ht="21" customHeight="1">
      <x:c r="A85" s="3"/>
      <x:c r="B85" s="3"/>
      <x:c r="C85" s="3"/>
      <x:c r="D85" s="5"/>
      <x:c r="E85" s="5"/>
      <x:c r="F85" s="5"/>
      <x:c r="G85" s="5"/>
      <x:c r="H85" s="5"/>
      <x:c r="I85" s="5"/>
      <x:c r="J85" s="5"/>
      <x:c r="K85" s="5"/>
      <x:c r="L85" s="5"/>
      <x:c r="M85" s="3"/>
      <x:c r="N85" s="3"/>
    </x:row>
    <x:row r="86" ht="21" customHeight="1">
      <x:c r="A86" s="3"/>
      <x:c r="B86" s="3"/>
      <x:c r="C86" s="3"/>
      <x:c r="D86" s="5"/>
      <x:c r="E86" s="5"/>
      <x:c r="F86" s="5"/>
      <x:c r="G86" s="5"/>
      <x:c r="H86" s="5"/>
      <x:c r="I86" s="5"/>
      <x:c r="J86" s="5"/>
      <x:c r="K86" s="5"/>
      <x:c r="L86" s="5"/>
      <x:c r="M86" s="3"/>
      <x:c r="N86" s="3"/>
    </x:row>
    <x:row r="87" ht="21" customHeight="1">
      <x:c r="A87" s="3"/>
      <x:c r="B87" s="3"/>
      <x:c r="C87" s="3"/>
      <x:c r="D87" s="5"/>
      <x:c r="E87" s="5"/>
      <x:c r="F87" s="5"/>
      <x:c r="G87" s="5"/>
      <x:c r="H87" s="5"/>
      <x:c r="I87" s="5"/>
      <x:c r="J87" s="5"/>
      <x:c r="K87" s="5"/>
      <x:c r="L87" s="5"/>
      <x:c r="M87" s="3"/>
      <x:c r="N87" s="3"/>
    </x:row>
    <x:row r="88" ht="21" customHeight="1">
      <x:c r="A88" s="3"/>
      <x:c r="B88" s="3"/>
      <x:c r="C88" s="3"/>
      <x:c r="D88" s="5"/>
      <x:c r="E88" s="5"/>
      <x:c r="F88" s="5"/>
      <x:c r="G88" s="5"/>
      <x:c r="H88" s="5"/>
      <x:c r="I88" s="5"/>
      <x:c r="J88" s="5"/>
      <x:c r="K88" s="5"/>
      <x:c r="L88" s="5"/>
      <x:c r="M88" s="3"/>
      <x:c r="N88" s="3"/>
    </x:row>
    <x:row r="89" ht="21" customHeight="1">
      <x:c r="A89" s="3"/>
      <x:c r="B89" s="3"/>
      <x:c r="C89" s="3"/>
      <x:c r="D89" s="5"/>
      <x:c r="E89" s="5"/>
      <x:c r="F89" s="5"/>
      <x:c r="G89" s="5"/>
      <x:c r="H89" s="5"/>
      <x:c r="I89" s="5"/>
      <x:c r="J89" s="5"/>
      <x:c r="K89" s="5"/>
      <x:c r="L89" s="5"/>
      <x:c r="M89" s="3"/>
      <x:c r="N89" s="3"/>
    </x:row>
    <x:row r="90" ht="21" customHeight="1">
      <x:c r="A90" s="3"/>
      <x:c r="B90" s="3"/>
      <x:c r="C90" s="3"/>
      <x:c r="D90" s="5"/>
      <x:c r="E90" s="5"/>
      <x:c r="F90" s="5"/>
      <x:c r="G90" s="5"/>
      <x:c r="H90" s="5"/>
      <x:c r="I90" s="5"/>
      <x:c r="J90" s="5"/>
      <x:c r="K90" s="5"/>
      <x:c r="L90" s="5"/>
      <x:c r="M90" s="3"/>
      <x:c r="N90" s="3"/>
    </x:row>
    <x:row r="91" ht="21" customHeight="1">
      <x:c r="A91" s="3"/>
      <x:c r="B91" s="3"/>
      <x:c r="C91" s="3"/>
      <x:c r="D91" s="5"/>
      <x:c r="E91" s="5"/>
      <x:c r="F91" s="5"/>
      <x:c r="G91" s="5"/>
      <x:c r="H91" s="5"/>
      <x:c r="I91" s="5"/>
      <x:c r="J91" s="5"/>
      <x:c r="K91" s="5"/>
      <x:c r="L91" s="5"/>
      <x:c r="M91" s="3"/>
      <x:c r="N91" s="3"/>
    </x:row>
    <x:row r="92" ht="21" customHeight="1">
      <x:c r="A92" s="3"/>
      <x:c r="B92" s="3"/>
      <x:c r="C92" s="3"/>
      <x:c r="D92" s="5"/>
      <x:c r="E92" s="5"/>
      <x:c r="F92" s="5"/>
      <x:c r="G92" s="5"/>
      <x:c r="H92" s="5"/>
      <x:c r="I92" s="5"/>
      <x:c r="J92" s="5"/>
      <x:c r="K92" s="5"/>
      <x:c r="L92" s="5"/>
      <x:c r="M92" s="3"/>
      <x:c r="N92" s="3"/>
    </x:row>
    <x:row r="93" ht="21" customHeight="1">
      <x:c r="A93" s="3"/>
      <x:c r="B93" s="3"/>
      <x:c r="C93" s="3"/>
      <x:c r="D93" s="5"/>
      <x:c r="E93" s="5"/>
      <x:c r="F93" s="5"/>
      <x:c r="G93" s="5"/>
      <x:c r="H93" s="5"/>
      <x:c r="I93" s="5"/>
      <x:c r="J93" s="5"/>
      <x:c r="K93" s="5"/>
      <x:c r="L93" s="5"/>
      <x:c r="M93" s="3"/>
      <x:c r="N93" s="3"/>
    </x:row>
    <x:row r="94" ht="21" customHeight="1">
      <x:c r="A94" s="3"/>
      <x:c r="B94" s="3"/>
      <x:c r="C94" s="3"/>
      <x:c r="D94" s="5"/>
      <x:c r="E94" s="5"/>
      <x:c r="F94" s="5"/>
      <x:c r="G94" s="5"/>
      <x:c r="H94" s="5"/>
      <x:c r="I94" s="5"/>
      <x:c r="J94" s="5"/>
      <x:c r="K94" s="5"/>
      <x:c r="L94" s="5"/>
      <x:c r="M94" s="3"/>
      <x:c r="N94" s="3"/>
    </x:row>
    <x:row r="95" ht="21" customHeight="1">
      <x:c r="A95" s="3"/>
      <x:c r="B95" s="3"/>
      <x:c r="C95" s="3"/>
      <x:c r="D95" s="5"/>
      <x:c r="E95" s="5"/>
      <x:c r="F95" s="5"/>
      <x:c r="G95" s="5"/>
      <x:c r="H95" s="5"/>
      <x:c r="I95" s="5"/>
      <x:c r="J95" s="5"/>
      <x:c r="K95" s="5"/>
      <x:c r="L95" s="5"/>
      <x:c r="M95" s="3"/>
      <x:c r="N95" s="3"/>
    </x:row>
    <x:row r="96" ht="21" customHeight="1">
      <x:c r="A96" s="3"/>
      <x:c r="B96" s="3"/>
      <x:c r="C96" s="3"/>
      <x:c r="D96" s="5"/>
      <x:c r="E96" s="5"/>
      <x:c r="F96" s="5"/>
      <x:c r="G96" s="5"/>
      <x:c r="H96" s="5"/>
      <x:c r="I96" s="5"/>
      <x:c r="J96" s="5"/>
      <x:c r="K96" s="5"/>
      <x:c r="L96" s="5"/>
      <x:c r="M96" s="3"/>
      <x:c r="N96" s="3"/>
    </x:row>
    <x:row r="97" ht="21" customHeight="1">
      <x:c r="A97" s="3"/>
      <x:c r="B97" s="3"/>
      <x:c r="C97" s="3"/>
      <x:c r="D97" s="5"/>
      <x:c r="E97" s="5"/>
      <x:c r="F97" s="5"/>
      <x:c r="G97" s="5"/>
      <x:c r="H97" s="5"/>
      <x:c r="I97" s="5"/>
      <x:c r="J97" s="5"/>
      <x:c r="K97" s="5"/>
      <x:c r="L97" s="5"/>
      <x:c r="M97" s="3"/>
      <x:c r="N97" s="3"/>
    </x:row>
    <x:row r="98" ht="21" customHeight="1">
      <x:c r="A98" s="3"/>
      <x:c r="B98" s="3"/>
      <x:c r="C98" s="3"/>
      <x:c r="D98" s="5"/>
      <x:c r="E98" s="5"/>
      <x:c r="F98" s="5"/>
      <x:c r="G98" s="5"/>
      <x:c r="H98" s="5"/>
      <x:c r="I98" s="5"/>
      <x:c r="J98" s="5"/>
      <x:c r="K98" s="5"/>
      <x:c r="L98" s="5"/>
      <x:c r="M98" s="3"/>
      <x:c r="N98" s="3"/>
    </x:row>
    <x:row r="99" ht="21" customHeight="1">
      <x:c r="A99" s="3"/>
      <x:c r="B99" s="3"/>
      <x:c r="C99" s="3"/>
      <x:c r="D99" s="5"/>
      <x:c r="E99" s="5"/>
      <x:c r="F99" s="5"/>
      <x:c r="G99" s="5"/>
      <x:c r="H99" s="5"/>
      <x:c r="I99" s="5"/>
      <x:c r="J99" s="5"/>
      <x:c r="K99" s="5"/>
      <x:c r="L99" s="5"/>
      <x:c r="M99" s="3"/>
      <x:c r="N99" s="3"/>
    </x:row>
    <x:row r="100" ht="21" customHeight="1">
      <x:c r="A100" s="3"/>
      <x:c r="B100" s="3"/>
      <x:c r="C100" s="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3"/>
      <x:c r="N100" s="3"/>
    </x:row>
    <x:row r="101" ht="21" customHeight="1">
      <x:c r="A101" s="3"/>
      <x:c r="B101" s="3"/>
      <x:c r="C101" s="3"/>
      <x:c r="D101" s="5"/>
      <x:c r="E101" s="5"/>
      <x:c r="F101" s="5"/>
      <x:c r="G101" s="5"/>
      <x:c r="H101" s="5"/>
      <x:c r="I101" s="5"/>
      <x:c r="J101" s="5"/>
      <x:c r="K101" s="5"/>
      <x:c r="L101" s="5"/>
      <x:c r="M101" s="3"/>
      <x:c r="N101" s="3"/>
    </x:row>
    <x:row r="102" ht="21" customHeight="1">
      <x:c r="A102" s="3"/>
      <x:c r="B102" s="3"/>
      <x:c r="C102" s="3"/>
      <x:c r="D102" s="5"/>
      <x:c r="E102" s="5"/>
      <x:c r="F102" s="5"/>
      <x:c r="G102" s="5"/>
      <x:c r="H102" s="5"/>
      <x:c r="I102" s="5"/>
      <x:c r="J102" s="5"/>
      <x:c r="K102" s="5"/>
      <x:c r="L102" s="5"/>
      <x:c r="M102" s="3"/>
      <x:c r="N102" s="3"/>
    </x:row>
    <x:row r="103" ht="21" customHeight="1">
      <x:c r="A103" s="3"/>
      <x:c r="B103" s="3"/>
      <x:c r="C103" s="3"/>
      <x:c r="D103" s="5"/>
      <x:c r="E103" s="5"/>
      <x:c r="F103" s="5"/>
      <x:c r="G103" s="5"/>
      <x:c r="H103" s="5"/>
      <x:c r="I103" s="5"/>
      <x:c r="J103" s="5"/>
      <x:c r="K103" s="5"/>
      <x:c r="L103" s="5"/>
      <x:c r="M103" s="3"/>
      <x:c r="N103" s="3"/>
    </x:row>
    <x:row r="104" ht="21" customHeight="1">
      <x:c r="A104" s="3"/>
      <x:c r="B104" s="3"/>
      <x:c r="C104" s="3"/>
      <x:c r="D104" s="5"/>
      <x:c r="E104" s="5"/>
      <x:c r="F104" s="5"/>
      <x:c r="G104" s="5"/>
      <x:c r="H104" s="5"/>
      <x:c r="I104" s="5"/>
      <x:c r="J104" s="5"/>
      <x:c r="K104" s="5"/>
      <x:c r="L104" s="5"/>
      <x:c r="M104" s="3"/>
      <x:c r="N104" s="3"/>
    </x:row>
    <x:row r="105" ht="21" customHeight="1">
      <x:c r="A105" s="3"/>
      <x:c r="B105" s="3"/>
      <x:c r="C105" s="3"/>
      <x:c r="D105" s="5"/>
      <x:c r="E105" s="5"/>
      <x:c r="F105" s="5"/>
      <x:c r="G105" s="5"/>
      <x:c r="H105" s="5"/>
      <x:c r="I105" s="5"/>
      <x:c r="J105" s="5"/>
      <x:c r="K105" s="5"/>
      <x:c r="L105" s="5"/>
      <x:c r="M105" s="3"/>
      <x:c r="N105" s="3"/>
    </x:row>
    <x:row r="106" ht="21" customHeight="1">
      <x:c r="A106" s="3"/>
      <x:c r="B106" s="3"/>
      <x:c r="C106" s="3"/>
      <x:c r="D106" s="5"/>
      <x:c r="E106" s="5"/>
      <x:c r="F106" s="5"/>
      <x:c r="G106" s="5"/>
      <x:c r="H106" s="5"/>
      <x:c r="I106" s="5"/>
      <x:c r="J106" s="5"/>
      <x:c r="K106" s="5"/>
      <x:c r="L106" s="5"/>
      <x:c r="M106" s="3"/>
      <x:c r="N106" s="3"/>
    </x:row>
    <x:row r="107" ht="21" customHeight="1">
      <x:c r="A107" s="3"/>
      <x:c r="B107" s="3"/>
      <x:c r="C107" s="3"/>
      <x:c r="D107" s="5"/>
      <x:c r="E107" s="5"/>
      <x:c r="F107" s="5"/>
      <x:c r="G107" s="5"/>
      <x:c r="H107" s="5"/>
      <x:c r="I107" s="5"/>
      <x:c r="J107" s="5"/>
      <x:c r="K107" s="5"/>
      <x:c r="L107" s="5"/>
      <x:c r="M107" s="3"/>
      <x:c r="N107" s="3"/>
    </x:row>
    <x:row r="108" ht="21" customHeight="1">
      <x:c r="A108" s="3"/>
      <x:c r="B108" s="3"/>
      <x:c r="C108" s="3"/>
      <x:c r="D108" s="5"/>
      <x:c r="E108" s="5"/>
      <x:c r="F108" s="5"/>
      <x:c r="G108" s="5"/>
      <x:c r="H108" s="5"/>
      <x:c r="I108" s="5"/>
      <x:c r="J108" s="5"/>
      <x:c r="K108" s="5"/>
      <x:c r="L108" s="5"/>
      <x:c r="M108" s="3"/>
      <x:c r="N108" s="3"/>
    </x:row>
    <x:row r="109" ht="21" customHeight="1">
      <x:c r="A109" s="3"/>
      <x:c r="B109" s="3"/>
      <x:c r="C109" s="3"/>
      <x:c r="D109" s="5"/>
      <x:c r="E109" s="5"/>
      <x:c r="F109" s="5"/>
      <x:c r="G109" s="5"/>
      <x:c r="H109" s="5"/>
      <x:c r="I109" s="5"/>
      <x:c r="J109" s="5"/>
      <x:c r="K109" s="5"/>
      <x:c r="L109" s="5"/>
      <x:c r="M109" s="3"/>
      <x:c r="N109" s="3"/>
    </x:row>
    <x:row r="110" ht="21" customHeight="1">
      <x:c r="A110" s="3"/>
      <x:c r="B110" s="3"/>
      <x:c r="C110" s="3"/>
      <x:c r="D110" s="5"/>
      <x:c r="E110" s="5"/>
      <x:c r="F110" s="5"/>
      <x:c r="G110" s="5"/>
      <x:c r="H110" s="5"/>
      <x:c r="I110" s="5"/>
      <x:c r="J110" s="5"/>
      <x:c r="K110" s="5"/>
      <x:c r="L110" s="5"/>
      <x:c r="M110" s="3"/>
      <x:c r="N110" s="3"/>
    </x:row>
    <x:row r="111" ht="21" customHeight="1">
      <x:c r="A111" s="3"/>
      <x:c r="B111" s="3"/>
      <x:c r="C111" s="3"/>
      <x:c r="D111" s="5"/>
      <x:c r="E111" s="5"/>
      <x:c r="F111" s="5"/>
      <x:c r="G111" s="5"/>
      <x:c r="H111" s="5"/>
      <x:c r="I111" s="5"/>
      <x:c r="J111" s="5"/>
      <x:c r="K111" s="5"/>
      <x:c r="L111" s="5"/>
      <x:c r="M111" s="3"/>
      <x:c r="N111" s="3"/>
    </x:row>
    <x:row r="112" ht="21" customHeight="1">
      <x:c r="A112" s="3"/>
      <x:c r="B112" s="3"/>
      <x:c r="C112" s="3"/>
      <x:c r="D112" s="5"/>
      <x:c r="E112" s="5"/>
      <x:c r="F112" s="5"/>
      <x:c r="G112" s="5"/>
      <x:c r="H112" s="5"/>
      <x:c r="I112" s="5"/>
      <x:c r="J112" s="5"/>
      <x:c r="K112" s="5"/>
      <x:c r="L112" s="5"/>
      <x:c r="M112" s="3"/>
      <x:c r="N112" s="3"/>
    </x:row>
    <x:row r="113" ht="21" customHeight="1">
      <x:c r="A113" s="3"/>
      <x:c r="B113" s="3"/>
      <x:c r="C113" s="3"/>
      <x:c r="D113" s="5"/>
      <x:c r="E113" s="5"/>
      <x:c r="F113" s="5"/>
      <x:c r="G113" s="5"/>
      <x:c r="H113" s="5"/>
      <x:c r="I113" s="5"/>
      <x:c r="J113" s="5"/>
      <x:c r="K113" s="5"/>
      <x:c r="L113" s="5"/>
      <x:c r="M113" s="3"/>
      <x:c r="N113" s="3"/>
    </x:row>
    <x:row r="114" ht="21" customHeight="1">
      <x:c r="A114" s="3"/>
      <x:c r="B114" s="3"/>
      <x:c r="C114" s="3"/>
      <x:c r="D114" s="5"/>
      <x:c r="E114" s="5"/>
      <x:c r="F114" s="5"/>
      <x:c r="G114" s="5"/>
      <x:c r="H114" s="5"/>
      <x:c r="I114" s="5"/>
      <x:c r="J114" s="5"/>
      <x:c r="K114" s="5"/>
      <x:c r="L114" s="5"/>
      <x:c r="M114" s="3"/>
      <x:c r="N114" s="3"/>
    </x:row>
    <x:row r="115" ht="21" customHeight="1">
      <x:c r="A115" s="3"/>
      <x:c r="B115" s="3"/>
      <x:c r="C115" s="3"/>
      <x:c r="D115" s="5"/>
      <x:c r="E115" s="5"/>
      <x:c r="F115" s="5"/>
      <x:c r="G115" s="5"/>
      <x:c r="H115" s="5"/>
      <x:c r="I115" s="5"/>
      <x:c r="J115" s="5"/>
      <x:c r="K115" s="5"/>
      <x:c r="L115" s="5"/>
      <x:c r="M115" s="3"/>
      <x:c r="N115" s="3"/>
    </x:row>
    <x:row r="116" ht="21" customHeight="1">
      <x:c r="A116" s="3"/>
      <x:c r="B116" s="3"/>
      <x:c r="C116" s="3"/>
      <x:c r="D116" s="5"/>
      <x:c r="E116" s="5"/>
      <x:c r="F116" s="5"/>
      <x:c r="G116" s="5"/>
      <x:c r="H116" s="5"/>
      <x:c r="I116" s="5"/>
      <x:c r="J116" s="5"/>
      <x:c r="K116" s="5"/>
      <x:c r="L116" s="5"/>
      <x:c r="M116" s="3"/>
      <x:c r="N116" s="3"/>
    </x:row>
    <x:row r="117" ht="21" customHeight="1">
      <x:c r="A117" s="3"/>
      <x:c r="B117" s="3"/>
      <x:c r="C117" s="3"/>
      <x:c r="D117" s="5"/>
      <x:c r="E117" s="5"/>
      <x:c r="F117" s="5"/>
      <x:c r="G117" s="5"/>
      <x:c r="H117" s="5"/>
      <x:c r="I117" s="5"/>
      <x:c r="J117" s="5"/>
      <x:c r="K117" s="5"/>
      <x:c r="L117" s="5"/>
      <x:c r="M117" s="3"/>
      <x:c r="N117" s="3"/>
    </x:row>
    <x:row r="118" ht="21" customHeight="1">
      <x:c r="A118" s="3"/>
      <x:c r="B118" s="3"/>
      <x:c r="C118" s="3"/>
      <x:c r="D118" s="5"/>
      <x:c r="E118" s="5"/>
      <x:c r="F118" s="5"/>
      <x:c r="G118" s="5"/>
      <x:c r="H118" s="5"/>
      <x:c r="I118" s="5"/>
      <x:c r="J118" s="5"/>
      <x:c r="K118" s="5"/>
      <x:c r="L118" s="5"/>
      <x:c r="M118" s="3"/>
      <x:c r="N118" s="3"/>
    </x:row>
    <x:row r="119" ht="21" customHeight="1">
      <x:c r="A119" s="3"/>
      <x:c r="B119" s="3"/>
      <x:c r="C119" s="3"/>
      <x:c r="D119" s="5"/>
      <x:c r="E119" s="5"/>
      <x:c r="F119" s="5"/>
      <x:c r="G119" s="5"/>
      <x:c r="H119" s="5"/>
      <x:c r="I119" s="5"/>
      <x:c r="J119" s="5"/>
      <x:c r="K119" s="5"/>
      <x:c r="L119" s="5"/>
      <x:c r="M119" s="3"/>
      <x:c r="N119" s="3"/>
    </x:row>
    <x:row r="120" ht="21" customHeight="1">
      <x:c r="A120" s="3"/>
      <x:c r="B120" s="3"/>
      <x:c r="C120" s="3"/>
      <x:c r="D120" s="5"/>
      <x:c r="E120" s="5"/>
      <x:c r="F120" s="5"/>
      <x:c r="G120" s="5"/>
      <x:c r="H120" s="5"/>
      <x:c r="I120" s="5"/>
      <x:c r="J120" s="5"/>
      <x:c r="K120" s="5"/>
      <x:c r="L120" s="5"/>
      <x:c r="M120" s="3"/>
      <x:c r="N120" s="3"/>
    </x:row>
    <x:row r="121" ht="21" customHeight="1">
      <x:c r="A121" s="3"/>
      <x:c r="B121" s="3"/>
      <x:c r="C121" s="3"/>
      <x:c r="D121" s="5"/>
      <x:c r="E121" s="5"/>
      <x:c r="F121" s="5"/>
      <x:c r="G121" s="5"/>
      <x:c r="H121" s="5"/>
      <x:c r="I121" s="5"/>
      <x:c r="J121" s="5"/>
      <x:c r="K121" s="5"/>
      <x:c r="L121" s="5"/>
      <x:c r="M121" s="3"/>
      <x:c r="N121" s="3"/>
    </x:row>
    <x:row r="122" ht="21" customHeight="1">
      <x:c r="A122" s="3"/>
      <x:c r="B122" s="3"/>
      <x:c r="C122" s="3"/>
      <x:c r="D122" s="5"/>
      <x:c r="E122" s="5"/>
      <x:c r="F122" s="5"/>
      <x:c r="G122" s="5"/>
      <x:c r="H122" s="5"/>
      <x:c r="I122" s="5"/>
      <x:c r="J122" s="5"/>
      <x:c r="K122" s="5"/>
      <x:c r="L122" s="5"/>
      <x:c r="M122" s="3"/>
      <x:c r="N122" s="3"/>
    </x:row>
    <x:row r="123" ht="21" customHeight="1">
      <x:c r="A123" s="3"/>
      <x:c r="B123" s="3"/>
      <x:c r="C123" s="3"/>
      <x:c r="D123" s="5"/>
      <x:c r="E123" s="5"/>
      <x:c r="F123" s="5"/>
      <x:c r="G123" s="5"/>
      <x:c r="H123" s="5"/>
      <x:c r="I123" s="5"/>
      <x:c r="J123" s="5"/>
      <x:c r="K123" s="5"/>
      <x:c r="L123" s="5"/>
      <x:c r="M123" s="3"/>
      <x:c r="N123" s="3"/>
    </x:row>
    <x:row r="124" ht="21" customHeight="1">
      <x:c r="A124" s="3"/>
      <x:c r="B124" s="3"/>
      <x:c r="C124" s="3"/>
      <x:c r="D124" s="5"/>
      <x:c r="E124" s="5"/>
      <x:c r="F124" s="5"/>
      <x:c r="G124" s="5"/>
      <x:c r="H124" s="5"/>
      <x:c r="I124" s="5"/>
      <x:c r="J124" s="5"/>
      <x:c r="K124" s="5"/>
      <x:c r="L124" s="5"/>
      <x:c r="M124" s="3"/>
      <x:c r="N124" s="3"/>
    </x:row>
    <x:row r="125" ht="21" customHeight="1">
      <x:c r="A125" s="3"/>
      <x:c r="B125" s="3"/>
      <x:c r="C125" s="3"/>
      <x:c r="D125" s="5"/>
      <x:c r="E125" s="5"/>
      <x:c r="F125" s="5"/>
      <x:c r="G125" s="5"/>
      <x:c r="H125" s="5"/>
      <x:c r="I125" s="5"/>
      <x:c r="J125" s="5"/>
      <x:c r="K125" s="5"/>
      <x:c r="L125" s="5"/>
      <x:c r="M125" s="3"/>
      <x:c r="N125" s="3"/>
    </x:row>
    <x:row r="126" ht="21" customHeight="1">
      <x:c r="A126" s="3"/>
      <x:c r="B126" s="3"/>
      <x:c r="C126" s="3"/>
      <x:c r="D126" s="5"/>
      <x:c r="E126" s="5"/>
      <x:c r="F126" s="5"/>
      <x:c r="G126" s="5"/>
      <x:c r="H126" s="5"/>
      <x:c r="I126" s="5"/>
      <x:c r="J126" s="5"/>
      <x:c r="K126" s="5"/>
      <x:c r="L126" s="5"/>
      <x:c r="M126" s="3"/>
      <x:c r="N126" s="3"/>
    </x:row>
    <x:row r="127" ht="21" customHeight="1">
      <x:c r="A127" s="3"/>
      <x:c r="B127" s="3"/>
      <x:c r="C127" s="3"/>
      <x:c r="D127" s="5"/>
      <x:c r="E127" s="5"/>
      <x:c r="F127" s="5"/>
      <x:c r="G127" s="5"/>
      <x:c r="H127" s="5"/>
      <x:c r="I127" s="5"/>
      <x:c r="J127" s="5"/>
      <x:c r="K127" s="5"/>
      <x:c r="L127" s="5"/>
      <x:c r="M127" s="3"/>
      <x:c r="N127" s="3"/>
    </x:row>
    <x:row r="128" ht="21" customHeight="1">
      <x:c r="A128" s="3"/>
      <x:c r="B128" s="3"/>
      <x:c r="C128" s="3"/>
      <x:c r="D128" s="5"/>
      <x:c r="E128" s="5"/>
      <x:c r="F128" s="5"/>
      <x:c r="G128" s="5"/>
      <x:c r="H128" s="5"/>
      <x:c r="I128" s="5"/>
      <x:c r="J128" s="5"/>
      <x:c r="K128" s="5"/>
      <x:c r="L128" s="5"/>
      <x:c r="M128" s="3"/>
      <x:c r="N128" s="3"/>
    </x:row>
    <x:row r="129" ht="21" customHeight="1">
      <x:c r="A129" s="3"/>
      <x:c r="B129" s="3"/>
      <x:c r="C129" s="3"/>
      <x:c r="D129" s="5"/>
      <x:c r="E129" s="5"/>
      <x:c r="F129" s="5"/>
      <x:c r="G129" s="5"/>
      <x:c r="H129" s="5"/>
      <x:c r="I129" s="5"/>
      <x:c r="J129" s="5"/>
      <x:c r="K129" s="5"/>
      <x:c r="L129" s="5"/>
      <x:c r="M129" s="3"/>
      <x:c r="N129" s="3"/>
    </x:row>
    <x:row r="130" ht="21" customHeight="1">
      <x:c r="A130" s="3"/>
      <x:c r="B130" s="3"/>
      <x:c r="C130" s="3"/>
      <x:c r="D130" s="5"/>
      <x:c r="E130" s="5"/>
      <x:c r="F130" s="5"/>
      <x:c r="G130" s="5"/>
      <x:c r="H130" s="5"/>
      <x:c r="I130" s="5"/>
      <x:c r="J130" s="5"/>
      <x:c r="K130" s="5"/>
      <x:c r="L130" s="5"/>
      <x:c r="M130" s="3"/>
      <x:c r="N130" s="3"/>
    </x:row>
  </x:sheetData>
  <x:conditionalFormatting sqref="D53:H57">
    <x:cfRule type="colorScale" priority="1">
      <x:colorScale>
        <x:cfvo type="min"/>
        <x:cfvo type="percentile" val="50"/>
        <x:cfvo type="max"/>
        <x:color rgb="FFF3E1D3"/>
        <x:color rgb="FFF5F6F7"/>
        <x:color rgb="FF9FB2C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F81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9" hidden="0" customWidth="1"/>
    <x:col min="4" max="4" width="13" hidden="0" customWidth="1"/>
    <x:col min="5" max="5" width="13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3"/>
      <x:c r="B1" s="3"/>
      <x:c r="C1" s="3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3"/>
      <x:c r="B2" s="3"/>
      <x:c r="C2" s="6" t="str">
        <x:v>Inputs and public information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1" customHeight="1">
      <x:c r="A3" s="3"/>
      <x:c r="B3" s="3"/>
      <x:c r="C3" s="9" t="str">
        <x:v>USD billions. S-1 review: 26 Oct 2026. Annuals audited; interim statements unaudited.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1" customHeight="1">
      <x:c r="A4" s="3"/>
      <x:c r="B4" s="3"/>
      <x:c r="C4" s="7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21" customHeight="1">
      <x:c r="A5" s="3"/>
      <x:c r="B5" s="3"/>
      <x:c r="C5" s="3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23" customHeight="1">
      <x:c r="A6" s="3"/>
      <x:c r="B6" s="3"/>
      <x:c r="C6" s="12" t="str">
        <x:v>Valuation assumptions</x:v>
      </x:c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 ht="21" customHeight="1">
      <x:c r="A7" s="3"/>
      <x:c r="B7" s="3"/>
      <x:c r="C7" s="3" t="str">
        <x:v>Assumed valuation date</x:v>
      </x:c>
      <x:c r="D7" s="16" t="d">
        <x:v>2026-12-31T00:00:00.000Z</x:v>
      </x:c>
      <x:c r="E7" s="4"/>
      <x:c r="F7" s="26" t="str">
        <x:v>Reported IPO window has moved to mid-Nov 2026 [S11]. Change this cell to re-time the discounting.</x:v>
      </x:c>
      <x:c r="G7" s="4"/>
      <x:c r="H7" s="4"/>
      <x:c r="I7" s="4"/>
      <x:c r="J7" s="4"/>
      <x:c r="K7" s="4"/>
      <x:c r="L7" s="4"/>
      <x:c r="M7" s="4"/>
      <x:c r="N7" s="4"/>
    </x:row>
    <x:row r="8" ht="21" customHeight="1">
      <x:c r="A8" s="3"/>
      <x:c r="B8" s="3"/>
      <x:c r="C8" s="3" t="str">
        <x:v>Research cutoff</x:v>
      </x:c>
      <x:c r="D8" s="17" t="d">
        <x:v>2026-10-26T00:00:00.000Z</x:v>
      </x:c>
      <x:c r="E8" s="4"/>
      <x:c r="F8" s="26" t="str">
        <x:v>Public S-1 included [S25]; filing PDF conversion used; EDGAR HTML retrieval blocked.</x:v>
      </x:c>
      <x:c r="G8" s="4"/>
      <x:c r="H8" s="4"/>
      <x:c r="I8" s="4"/>
      <x:c r="J8" s="4"/>
      <x:c r="K8" s="4"/>
      <x:c r="L8" s="4"/>
      <x:c r="M8" s="4"/>
      <x:c r="N8" s="4"/>
    </x:row>
    <x:row r="9" ht="21" customHeight="1">
      <x:c r="A9" s="3"/>
      <x:c r="B9" s="3"/>
      <x:c r="C9" s="3" t="str">
        <x:v>2028 revenue anchor</x:v>
      </x:c>
      <x:c r="D9" s="19" t="n">
        <x:f>AVERAGE(D43:D44)</x:f>
        <x:v>195</x:v>
      </x:c>
      <x:c r="E9" s="4"/>
      <x:c r="F9" s="26" t="str">
        <x:v>Midpoint of the reported $190-200bn 2028 company projection [S2].</x:v>
      </x:c>
      <x:c r="G9" s="4"/>
      <x:c r="H9" s="4"/>
      <x:c r="I9" s="4"/>
      <x:c r="J9" s="4"/>
      <x:c r="K9" s="4"/>
      <x:c r="L9" s="4"/>
      <x:c r="M9" s="4"/>
      <x:c r="N9" s="4"/>
    </x:row>
    <x:row r="10" ht="21" customHeight="1">
      <x:c r="A10" s="3"/>
      <x:c r="B10" s="3"/>
      <x:c r="C10" s="3" t="str">
        <x:v>EV / 2028 revenue</x:v>
      </x:c>
      <x:c r="D10" s="20" t="n">
        <x:v>10</x:v>
      </x:c>
      <x:c r="E10" s="4"/>
      <x:c r="F10" s="26" t="str">
        <x:v>Illustrative multiple. See Comps for peer-derived ranges.</x:v>
      </x:c>
      <x:c r="G10" s="4"/>
      <x:c r="H10" s="4"/>
      <x:c r="I10" s="4"/>
      <x:c r="J10" s="4"/>
      <x:c r="K10" s="4"/>
      <x:c r="L10" s="4"/>
      <x:c r="M10" s="4"/>
      <x:c r="N10" s="4"/>
    </x:row>
    <x:row r="11" ht="21" customHeight="1">
      <x:c r="A11" s="3"/>
      <x:c r="B11" s="3"/>
      <x:c r="C11" s="21" t="str">
        <x:v>Discount rate (WACC)</x:v>
      </x:c>
      <x:c r="D11" s="23" t="n">
        <x:v>0.12</x:v>
      </x:c>
      <x:c r="E11" s="4"/>
      <x:c r="F11" s="26" t="str">
        <x:v>Analyst assumption for a risky growth business.</x:v>
      </x:c>
      <x:c r="G11" s="4"/>
      <x:c r="H11" s="4"/>
      <x:c r="I11" s="4"/>
      <x:c r="J11" s="4"/>
      <x:c r="K11" s="4"/>
      <x:c r="L11" s="4"/>
      <x:c r="M11" s="4"/>
      <x:c r="N11" s="4"/>
    </x:row>
    <x:row r="12" ht="21" customHeight="1">
      <x:c r="A12" s="3"/>
      <x:c r="B12" s="3"/>
      <x:c r="C12" s="3" t="str">
        <x:v>Pre-IPO net cash adjustment</x:v>
      </x:c>
      <x:c r="D12" s="15" t="n">
        <x:v>0</x:v>
      </x:c>
      <x:c r="E12" s="4"/>
      <x:c r="F12" s="26" t="str">
        <x:v>Zero remains a Dec-2026 assumption. June liquidity and debt sensitivities appear below.</x:v>
      </x:c>
      <x:c r="G12" s="4"/>
      <x:c r="H12" s="4"/>
      <x:c r="I12" s="4"/>
      <x:c r="J12" s="4"/>
      <x:c r="K12" s="4"/>
      <x:c r="L12" s="4"/>
      <x:c r="M12" s="4"/>
      <x:c r="N12" s="4"/>
    </x:row>
    <x:row r="13" ht="21" customHeight="1">
      <x:c r="A13" s="3"/>
      <x:c r="B13" s="3"/>
      <x:c r="C13" s="21" t="str">
        <x:v>Terminal revenue growth</x:v>
      </x:c>
      <x:c r="D13" s="23" t="n">
        <x:v>0.03</x:v>
      </x:c>
      <x:c r="E13" s="4"/>
      <x:c r="F13" s="26" t="str">
        <x:v>Perpetual growth after 2036. Must be below WACC.</x:v>
      </x:c>
      <x:c r="G13" s="4"/>
      <x:c r="H13" s="4"/>
      <x:c r="I13" s="4"/>
      <x:c r="J13" s="4"/>
      <x:c r="K13" s="4"/>
      <x:c r="L13" s="4"/>
      <x:c r="M13" s="4"/>
      <x:c r="N13" s="4"/>
    </x:row>
    <x:row r="14" ht="21" customHeight="1">
      <x:c r="A14" s="3"/>
      <x:c r="B14" s="3"/>
      <x:c r="C14" s="21" t="str">
        <x:v>Cash tax rate</x:v>
      </x:c>
      <x:c r="D14" s="23" t="n">
        <x:v>0.25</x:v>
      </x:c>
      <x:c r="E14" s="4"/>
      <x:c r="F14" s="26" t="str">
        <x:v>Assumes cash taxes on positive EBIT. No tax-loss carryforwards modeled.</x:v>
      </x:c>
      <x:c r="G14" s="4"/>
      <x:c r="H14" s="4"/>
      <x:c r="I14" s="4"/>
      <x:c r="J14" s="4"/>
      <x:c r="K14" s="4"/>
      <x:c r="L14" s="4"/>
      <x:c r="M14" s="4"/>
      <x:c r="N14" s="4"/>
    </x:row>
    <x:row r="15" ht="21" customHeight="1">
      <x:c r="A15" s="3"/>
      <x:c r="B15" s="3"/>
      <x:c r="C15" s="3" t="str">
        <x:v>Reported IPO equity benchmark</x:v>
      </x:c>
      <x:c r="D15" s="18" t="n">
        <x:f>D45</x:f>
        <x:v>1500</x:v>
      </x:c>
      <x:c r="E15" s="4"/>
      <x:c r="F15" s="26" t="str">
        <x:v>USD1.5tn discussion reaffirmed 22 Oct [S20]; offering not priced.</x:v>
      </x:c>
      <x:c r="G15" s="4"/>
      <x:c r="H15" s="4"/>
      <x:c r="I15" s="4"/>
      <x:c r="J15" s="4"/>
      <x:c r="K15" s="4"/>
      <x:c r="L15" s="4"/>
      <x:c r="M15" s="4"/>
      <x:c r="N15" s="4"/>
    </x:row>
    <x:row r="16" ht="21" customHeight="1">
      <x:c r="A16" s="3"/>
      <x:c r="B16" s="3"/>
      <x:c r="C16" s="3" t="str">
        <x:v>Gross primary IPO proceeds</x:v>
      </x:c>
      <x:c r="D16" s="15"/>
      <x:c r="E16" s="4"/>
      <x:c r="F16" s="26" t="str">
        <x:v>Public S-1 leaves offering size blank. Proceeds remain an unfilled input.</x:v>
      </x:c>
      <x:c r="G16" s="4"/>
      <x:c r="H16" s="4"/>
      <x:c r="I16" s="4"/>
      <x:c r="J16" s="4"/>
      <x:c r="K16" s="4"/>
      <x:c r="L16" s="4"/>
      <x:c r="M16" s="4"/>
      <x:c r="N16" s="4"/>
    </x:row>
    <x:row r="17" ht="21" customHeight="1">
      <x:c r="A17" s="3"/>
      <x:c r="B17" s="3"/>
      <x:c r="C17" s="21" t="str">
        <x:v>IPO fees / gross proceeds</x:v>
      </x:c>
      <x:c r="D17" s="23" t="n">
        <x:v>0.03</x:v>
      </x:c>
      <x:c r="E17" s="4"/>
      <x:c r="F17" s="26" t="str">
        <x:v>Illustrative fee rate. Actual underwriting terms are unavailable.</x:v>
      </x:c>
      <x:c r="G17" s="4"/>
      <x:c r="H17" s="4"/>
      <x:c r="I17" s="4"/>
      <x:c r="J17" s="4"/>
      <x:c r="K17" s="4"/>
      <x:c r="L17" s="4"/>
      <x:c r="M17" s="4"/>
      <x:c r="N17" s="4"/>
    </x:row>
    <x:row r="18" ht="21" customHeight="1">
      <x:c r="A18" s="3"/>
      <x:c r="B18" s="3"/>
      <x:c r="C18" s="3" t="str">
        <x:v>Existing diluted shares (billions)</x:v>
      </x:c>
      <x:c r="D18" s="24"/>
      <x:c r="E18" s="4"/>
      <x:c r="F18" s="26" t="str">
        <x:v>Final post-conversion diluted offering share count remains blank in the S-1.</x:v>
      </x:c>
      <x:c r="G18" s="4"/>
      <x:c r="H18" s="4"/>
      <x:c r="I18" s="4"/>
      <x:c r="J18" s="4"/>
      <x:c r="K18" s="4"/>
      <x:c r="L18" s="4"/>
      <x:c r="M18" s="4"/>
      <x:c r="N18" s="4"/>
    </x:row>
    <x:row r="19" ht="21" customHeight="1">
      <x:c r="A19" s="3"/>
      <x:c r="B19" s="3"/>
      <x:c r="C19" s="3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 ht="23" customHeight="1">
      <x:c r="A20" s="3"/>
      <x:c r="B20" s="3"/>
      <x:c r="C20" s="12" t="str">
        <x:v>Annual forecast assumptions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 ht="21" customHeight="1">
      <x:c r="A21" s="3"/>
      <x:c r="B21" s="3"/>
      <x:c r="C21" s="32" t="str">
        <x:v>Calendar year</x:v>
      </x:c>
      <x:c r="D21" s="33" t="n">
        <x:v>2026</x:v>
      </x:c>
      <x:c r="E21" s="33" t="n">
        <x:v>2027</x:v>
      </x:c>
      <x:c r="F21" s="33" t="n">
        <x:v>2028</x:v>
      </x:c>
      <x:c r="G21" s="33" t="n">
        <x:v>2029</x:v>
      </x:c>
      <x:c r="H21" s="33" t="n">
        <x:v>2030</x:v>
      </x:c>
      <x:c r="I21" s="33" t="n">
        <x:v>2031</x:v>
      </x:c>
      <x:c r="J21" s="33" t="n">
        <x:v>2032</x:v>
      </x:c>
      <x:c r="K21" s="33" t="n">
        <x:v>2033</x:v>
      </x:c>
      <x:c r="L21" s="33" t="n">
        <x:v>2034</x:v>
      </x:c>
      <x:c r="M21" s="33" t="n">
        <x:v>2035</x:v>
      </x:c>
      <x:c r="N21" s="33" t="n">
        <x:v>2036</x:v>
      </x:c>
    </x:row>
    <x:row r="22" ht="21" customHeight="1">
      <x:c r="A22" s="3"/>
      <x:c r="B22" s="3"/>
      <x:c r="C22" s="3" t="str">
        <x:v>2026 full-year revenue estimate</x:v>
      </x:c>
      <x:c r="D22" s="34" t="n">
        <x:v>64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 ht="21" customHeight="1">
      <x:c r="A23" s="3"/>
      <x:c r="B23" s="3"/>
      <x:c r="C23" s="21" t="str">
        <x:v>Revenue growth</x:v>
      </x:c>
      <x:c r="D23" s="38"/>
      <x:c r="E23" s="23" t="n">
        <x:v>1</x:v>
      </x:c>
      <x:c r="F23" s="39" t="n">
        <x:f>$D$9/($D$22*(1+E23))-1</x:f>
        <x:v>0.5234375</x:v>
      </x:c>
      <x:c r="G23" s="23" t="n">
        <x:v>0.35</x:v>
      </x:c>
      <x:c r="H23" s="23" t="n">
        <x:v>0.25</x:v>
      </x:c>
      <x:c r="I23" s="23" t="n">
        <x:v>0.2</x:v>
      </x:c>
      <x:c r="J23" s="23" t="n">
        <x:v>0.15</x:v>
      </x:c>
      <x:c r="K23" s="23" t="n">
        <x:v>0.1</x:v>
      </x:c>
      <x:c r="L23" s="23" t="n">
        <x:v>0.07</x:v>
      </x:c>
      <x:c r="M23" s="23" t="n">
        <x:v>0.05</x:v>
      </x:c>
      <x:c r="N23" s="23" t="n">
        <x:v>0.03</x:v>
      </x:c>
    </x:row>
    <x:row r="24" ht="21" customHeight="1">
      <x:c r="A24" s="3"/>
      <x:c r="B24" s="3"/>
      <x:c r="C24" s="21" t="str">
        <x:v>EBIT / revenue</x:v>
      </x:c>
      <x:c r="D24" s="38"/>
      <x:c r="E24" s="23" t="n">
        <x:v>0.1</x:v>
      </x:c>
      <x:c r="F24" s="23" t="n">
        <x:v>0.2</x:v>
      </x:c>
      <x:c r="G24" s="23" t="n">
        <x:v>0.25</x:v>
      </x:c>
      <x:c r="H24" s="23" t="n">
        <x:v>0.3</x:v>
      </x:c>
      <x:c r="I24" s="23" t="n">
        <x:v>0.32</x:v>
      </x:c>
      <x:c r="J24" s="23" t="n">
        <x:v>0.33</x:v>
      </x:c>
      <x:c r="K24" s="23" t="n">
        <x:v>0.34</x:v>
      </x:c>
      <x:c r="L24" s="23" t="n">
        <x:v>0.35</x:v>
      </x:c>
      <x:c r="M24" s="23" t="n">
        <x:v>0.35</x:v>
      </x:c>
      <x:c r="N24" s="23" t="n">
        <x:v>0.35</x:v>
      </x:c>
    </x:row>
    <x:row r="25" ht="21" customHeight="1">
      <x:c r="A25" s="3"/>
      <x:c r="B25" s="3"/>
      <x:c r="C25" s="21" t="str">
        <x:v>D&amp;A / revenue</x:v>
      </x:c>
      <x:c r="D25" s="38"/>
      <x:c r="E25" s="23" t="n">
        <x:v>0.03</x:v>
      </x:c>
      <x:c r="F25" s="23" t="n">
        <x:v>0.03</x:v>
      </x:c>
      <x:c r="G25" s="23" t="n">
        <x:v>0.03</x:v>
      </x:c>
      <x:c r="H25" s="23" t="n">
        <x:v>0.03</x:v>
      </x:c>
      <x:c r="I25" s="23" t="n">
        <x:v>0.03</x:v>
      </x:c>
      <x:c r="J25" s="23" t="n">
        <x:v>0.03</x:v>
      </x:c>
      <x:c r="K25" s="23" t="n">
        <x:v>0.03</x:v>
      </x:c>
      <x:c r="L25" s="23" t="n">
        <x:v>0.03</x:v>
      </x:c>
      <x:c r="M25" s="23" t="n">
        <x:v>0.03</x:v>
      </x:c>
      <x:c r="N25" s="23" t="n">
        <x:v>0.03</x:v>
      </x:c>
    </x:row>
    <x:row r="26" ht="21" customHeight="1">
      <x:c r="A26" s="3"/>
      <x:c r="B26" s="3"/>
      <x:c r="C26" s="21" t="str">
        <x:v>Cash capex / revenue</x:v>
      </x:c>
      <x:c r="D26" s="38"/>
      <x:c r="E26" s="23" t="n">
        <x:v>0.08</x:v>
      </x:c>
      <x:c r="F26" s="23" t="n">
        <x:v>0.08</x:v>
      </x:c>
      <x:c r="G26" s="23" t="n">
        <x:v>0.08</x:v>
      </x:c>
      <x:c r="H26" s="23" t="n">
        <x:v>0.08</x:v>
      </x:c>
      <x:c r="I26" s="23" t="n">
        <x:v>0.08</x:v>
      </x:c>
      <x:c r="J26" s="23" t="n">
        <x:v>0.08</x:v>
      </x:c>
      <x:c r="K26" s="23" t="n">
        <x:v>0.08</x:v>
      </x:c>
      <x:c r="L26" s="23" t="n">
        <x:v>0.08</x:v>
      </x:c>
      <x:c r="M26" s="23" t="n">
        <x:v>0.08</x:v>
      </x:c>
      <x:c r="N26" s="23" t="n">
        <x:v>0.08</x:v>
      </x:c>
    </x:row>
    <x:row r="27" ht="21" customHeight="1">
      <x:c r="A27" s="3"/>
      <x:c r="B27" s="3"/>
      <x:c r="C27" s="21" t="str">
        <x:v>Operating working capital / revenue</x:v>
      </x:c>
      <x:c r="D27" s="23" t="n">
        <x:v>0.02</x:v>
      </x:c>
      <x:c r="E27" s="23" t="n">
        <x:v>0.02</x:v>
      </x:c>
      <x:c r="F27" s="23" t="n">
        <x:v>0.02</x:v>
      </x:c>
      <x:c r="G27" s="23" t="n">
        <x:v>0.02</x:v>
      </x:c>
      <x:c r="H27" s="23" t="n">
        <x:v>0.02</x:v>
      </x:c>
      <x:c r="I27" s="23" t="n">
        <x:v>0.02</x:v>
      </x:c>
      <x:c r="J27" s="23" t="n">
        <x:v>0.02</x:v>
      </x:c>
      <x:c r="K27" s="23" t="n">
        <x:v>0.02</x:v>
      </x:c>
      <x:c r="L27" s="23" t="n">
        <x:v>0.02</x:v>
      </x:c>
      <x:c r="M27" s="23" t="n">
        <x:v>0.02</x:v>
      </x:c>
      <x:c r="N27" s="23" t="n">
        <x:v>0.02</x:v>
      </x:c>
    </x:row>
    <x:row r="28" ht="21" customHeight="1">
      <x:c r="A28" s="3"/>
      <x:c r="B28" s="3"/>
      <x:c r="C28" s="3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</x:row>
    <x:row r="29" ht="21" customHeight="1">
      <x:c r="A29" s="3"/>
      <x:c r="B29" s="3"/>
      <x:c r="C29" s="40" t="str">
        <x:v>2026 revenue of USD64bn remains an analyst assumption, not a reported annual result.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</x:row>
    <x:row r="30" ht="21" customHeight="1">
      <x:c r="A30" s="3"/>
      <x:c r="B30" s="3"/>
      <x:c r="C30" s="40" t="str">
        <x:v>Latest quarterly observations and a full-year reconciliation appear below and on Valuation.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</x:row>
    <x:row r="31" ht="21" customHeight="1">
      <x:c r="A31" s="3"/>
      <x:c r="B31" s="3"/>
      <x:c r="C31" s="40" t="str">
        <x:v>EBIT includes compute, training, channel fees and stock compensation. Capex is separate cash investment.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</x:row>
    <x:row r="32" ht="21" customHeight="1">
      <x:c r="A32" s="3"/>
      <x:c r="B32" s="3"/>
      <x:c r="C32" s="40" t="str">
        <x:v>Long-term compute obligations are not all current debt or one-year capex. Their timing is not modeled separately.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</x:row>
    <x:row r="33" ht="21" customHeight="1">
      <x:c r="A33" s="3"/>
      <x:c r="B33" s="3"/>
      <x:c r="C33" s="40" t="str">
        <x:v>DCF assumes financing is available. Any later equity dilution or funding shortfall needs a separate model.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</x:row>
    <x:row r="34" ht="21" customHeight="1">
      <x:c r="A34" s="3"/>
      <x:c r="B34" s="3"/>
      <x:c r="C34" s="3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</x:row>
    <x:row r="35" ht="23" customHeight="1">
      <x:c r="A35" s="3"/>
      <x:c r="B35" s="3"/>
      <x:c r="C35" s="12" t="str">
        <x:v>Published reference figures</x:v>
      </x:c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 ht="21" customHeight="1">
      <x:c r="A36" s="3"/>
      <x:c r="B36" s="3"/>
      <x:c r="C36" s="32" t="str">
        <x:v>Metric</x:v>
      </x:c>
      <x:c r="D36" s="43" t="str">
        <x:v>Value</x:v>
      </x:c>
      <x:c r="E36" s="43" t="str">
        <x:v>Period</x:v>
      </x:c>
      <x:c r="F36" s="43" t="str">
        <x:v>Classification</x:v>
      </x:c>
      <x:c r="G36" s="43" t="str">
        <x:v>Source ID</x:v>
      </x:c>
      <x:c r="H36" s="5"/>
      <x:c r="I36" s="32" t="str">
        <x:v>Period</x:v>
      </x:c>
      <x:c r="J36" s="43" t="str">
        <x:v>Revenue $bn</x:v>
      </x:c>
      <x:c r="K36" s="43" t="str">
        <x:v>Available BJT</x:v>
      </x:c>
      <x:c r="L36" s="43" t="str">
        <x:v>Classification</x:v>
      </x:c>
      <x:c r="M36" s="43" t="str">
        <x:v>Source</x:v>
      </x:c>
      <x:c r="N36" s="5"/>
    </x:row>
    <x:row r="37" ht="21" customHeight="1">
      <x:c r="A37" s="3"/>
      <x:c r="B37" s="3"/>
      <x:c r="C37" s="3" t="str">
        <x:v>Revenue</x:v>
      </x:c>
      <x:c r="D37" s="142" t="n">
        <x:f>D149</x:f>
        <x:v>4.585</x:v>
      </x:c>
      <x:c r="E37" s="45" t="str">
        <x:v>2025</x:v>
      </x:c>
      <x:c r="F37" s="4" t="str">
        <x:v>S-1 audited</x:v>
      </x:c>
      <x:c r="G37" s="4" t="str">
        <x:v>S25</x:v>
      </x:c>
      <x:c r="H37" s="5"/>
      <x:c r="I37" s="3" t="str">
        <x:v>2026Q1</x:v>
      </x:c>
      <x:c r="J37" s="127" t="n">
        <x:v>4.731</x:v>
      </x:c>
      <x:c r="K37" s="124" t="d">
        <x:v>2026-10-26T00:00:00.000Z</x:v>
      </x:c>
      <x:c r="L37" s="4" t="str">
        <x:v>S-1 unaudited</x:v>
      </x:c>
      <x:c r="M37" s="4" t="str">
        <x:v>S25</x:v>
      </x:c>
      <x:c r="N37" s="5"/>
    </x:row>
    <x:row r="38" ht="21" customHeight="1">
      <x:c r="A38" s="3"/>
      <x:c r="B38" s="3"/>
      <x:c r="C38" s="3" t="str">
        <x:v>Operating income (loss)</x:v>
      </x:c>
      <x:c r="D38" s="142" t="n">
        <x:f>D150</x:f>
        <x:v>-8.06</x:v>
      </x:c>
      <x:c r="E38" s="45" t="str">
        <x:v>2025</x:v>
      </x:c>
      <x:c r="F38" s="4" t="str">
        <x:v>S-1 audited</x:v>
      </x:c>
      <x:c r="G38" s="4" t="str">
        <x:v>S25</x:v>
      </x:c>
      <x:c r="H38" s="5"/>
      <x:c r="I38" s="3" t="str">
        <x:v>2026Q2</x:v>
      </x:c>
      <x:c r="J38" s="127" t="n">
        <x:v>11.555</x:v>
      </x:c>
      <x:c r="K38" s="124" t="d">
        <x:v>2026-10-26T00:00:00.000Z</x:v>
      </x:c>
      <x:c r="L38" s="4" t="str">
        <x:v>S-1 unaudited</x:v>
      </x:c>
      <x:c r="M38" s="4" t="str">
        <x:v>S25</x:v>
      </x:c>
      <x:c r="N38" s="5"/>
    </x:row>
    <x:row r="39" ht="21" customHeight="1">
      <x:c r="A39" s="3"/>
      <x:c r="B39" s="3"/>
      <x:c r="C39" s="3" t="str">
        <x:v>Series H post-money equity value</x:v>
      </x:c>
      <x:c r="D39" s="44" t="n">
        <x:v>965</x:v>
      </x:c>
      <x:c r="E39" s="45" t="str">
        <x:v>28-May-26</x:v>
      </x:c>
      <x:c r="F39" s="4" t="str">
        <x:v>Company-reported</x:v>
      </x:c>
      <x:c r="G39" s="4" t="str">
        <x:v>S1</x:v>
      </x:c>
      <x:c r="H39" s="5"/>
      <x:c r="I39" s="3" t="str">
        <x:v>2026Q3</x:v>
      </x:c>
      <x:c r="J39" s="127" t="n">
        <x:v>16.8</x:v>
      </x:c>
      <x:c r="K39" s="124" t="d">
        <x:v>2026-10-15T00:00:00.000Z</x:v>
      </x:c>
      <x:c r="L39" s="4" t="str">
        <x:v>Reuters; not S-1</x:v>
      </x:c>
      <x:c r="M39" s="4" t="str">
        <x:v>S19</x:v>
      </x:c>
      <x:c r="N39" s="5"/>
    </x:row>
    <x:row r="40" ht="21" customHeight="1">
      <x:c r="A40" s="3"/>
      <x:c r="B40" s="3"/>
      <x:c r="C40" s="3" t="str">
        <x:v>Series H funds raised</x:v>
      </x:c>
      <x:c r="D40" s="44" t="n">
        <x:v>65</x:v>
      </x:c>
      <x:c r="E40" s="45" t="str">
        <x:v>28-May-26</x:v>
      </x:c>
      <x:c r="F40" s="4" t="str">
        <x:v>Company-reported</x:v>
      </x:c>
      <x:c r="G40" s="4" t="str">
        <x:v>S1</x:v>
      </x:c>
      <x:c r="H40" s="5"/>
      <x:c r="I40" s="5"/>
      <x:c r="J40" s="5"/>
      <x:c r="K40" s="5"/>
      <x:c r="L40" s="5"/>
      <x:c r="M40" s="5"/>
      <x:c r="N40" s="5"/>
    </x:row>
    <x:row r="41" ht="21" customHeight="1">
      <x:c r="A41" s="3"/>
      <x:c r="B41" s="3"/>
      <x:c r="C41" s="3" t="str">
        <x:v>Revenue run rate, over</x:v>
      </x:c>
      <x:c r="D41" s="44" t="n">
        <x:v>47</x:v>
      </x:c>
      <x:c r="E41" s="45" t="str">
        <x:v>May-26</x:v>
      </x:c>
      <x:c r="F41" s="4" t="str">
        <x:v>Company-reported</x:v>
      </x:c>
      <x:c r="G41" s="4" t="str">
        <x:v>S1</x:v>
      </x:c>
      <x:c r="H41" s="5"/>
      <x:c r="I41" s="5"/>
      <x:c r="J41" s="5"/>
      <x:c r="K41" s="5"/>
      <x:c r="L41" s="5"/>
      <x:c r="M41" s="5"/>
      <x:c r="N41" s="5"/>
    </x:row>
    <x:row r="42" ht="21" customHeight="1">
      <x:c r="A42" s="3"/>
      <x:c r="B42" s="3"/>
      <x:c r="C42" s="3" t="str">
        <x:v>Revenue pace, over</x:v>
      </x:c>
      <x:c r="D42" s="44" t="n">
        <x:v>100</x:v>
      </x:c>
      <x:c r="E42" s="45" t="str">
        <x:v>18-Sep-26</x:v>
      </x:c>
      <x:c r="F42" s="4" t="str">
        <x:v>Media-reported</x:v>
      </x:c>
      <x:c r="G42" s="4" t="str">
        <x:v>S4</x:v>
      </x:c>
      <x:c r="H42" s="5"/>
      <x:c r="I42" s="5"/>
      <x:c r="J42" s="5"/>
      <x:c r="K42" s="5"/>
      <x:c r="L42" s="5"/>
      <x:c r="M42" s="5"/>
      <x:c r="N42" s="5"/>
    </x:row>
    <x:row r="43" ht="21" customHeight="1">
      <x:c r="A43" s="3"/>
      <x:c r="B43" s="3"/>
      <x:c r="C43" s="3" t="str">
        <x:v>2028 revenue forecast, low</x:v>
      </x:c>
      <x:c r="D43" s="44" t="n">
        <x:v>190</x:v>
      </x:c>
      <x:c r="E43" s="45" t="str">
        <x:v>2028</x:v>
      </x:c>
      <x:c r="F43" s="4" t="str">
        <x:v>Reported projection</x:v>
      </x:c>
      <x:c r="G43" s="4" t="str">
        <x:v>S2</x:v>
      </x:c>
      <x:c r="H43" s="5"/>
      <x:c r="I43" s="5"/>
      <x:c r="J43" s="5"/>
      <x:c r="K43" s="5"/>
      <x:c r="L43" s="5"/>
      <x:c r="M43" s="5"/>
      <x:c r="N43" s="5"/>
    </x:row>
    <x:row r="44" ht="21" customHeight="1">
      <x:c r="A44" s="3"/>
      <x:c r="B44" s="3"/>
      <x:c r="C44" s="3" t="str">
        <x:v>2028 revenue forecast, high</x:v>
      </x:c>
      <x:c r="D44" s="44" t="n">
        <x:v>200</x:v>
      </x:c>
      <x:c r="E44" s="45" t="str">
        <x:v>2028</x:v>
      </x:c>
      <x:c r="F44" s="4" t="str">
        <x:v>Reported projection</x:v>
      </x:c>
      <x:c r="G44" s="4" t="str">
        <x:v>S2</x:v>
      </x:c>
      <x:c r="H44" s="5"/>
      <x:c r="I44" s="5"/>
      <x:c r="J44" s="5"/>
      <x:c r="K44" s="5"/>
      <x:c r="L44" s="5"/>
      <x:c r="M44" s="5"/>
      <x:c r="N44" s="5"/>
    </x:row>
    <x:row r="45" ht="21" customHeight="1">
      <x:c r="A45" s="3"/>
      <x:c r="B45" s="3"/>
      <x:c r="C45" s="3" t="str">
        <x:v>IPO investor discussion, about</x:v>
      </x:c>
      <x:c r="D45" s="44" t="n">
        <x:v>1500</x:v>
      </x:c>
      <x:c r="E45" s="45" t="str">
        <x:v>22-Oct-26 BJT</x:v>
      </x:c>
      <x:c r="F45" s="4" t="str">
        <x:v>Media-reported</x:v>
      </x:c>
      <x:c r="G45" s="4" t="str">
        <x:v>S20</x:v>
      </x:c>
      <x:c r="H45" s="5"/>
      <x:c r="I45" s="5"/>
      <x:c r="J45" s="5"/>
      <x:c r="K45" s="5"/>
      <x:c r="L45" s="5"/>
      <x:c r="M45" s="5"/>
      <x:c r="N45" s="5"/>
    </x:row>
    <x:row r="46" ht="21" customHeight="1">
      <x:c r="A46" s="3"/>
      <x:c r="B46" s="3"/>
      <x:c r="C46" s="3" t="str">
        <x:v>Prior Reuters compute observation</x:v>
      </x:c>
      <x:c r="D46" s="44" t="n">
        <x:v>518</x:v>
      </x:c>
      <x:c r="E46" s="45" t="str">
        <x:v>15-Oct-26</x:v>
      </x:c>
      <x:c r="F46" s="4" t="str">
        <x:v>Historical report</x:v>
      </x:c>
      <x:c r="G46" s="4" t="str">
        <x:v>S19</x:v>
      </x:c>
      <x:c r="H46" s="5"/>
      <x:c r="I46" s="5"/>
      <x:c r="J46" s="5"/>
      <x:c r="K46" s="5"/>
      <x:c r="L46" s="5"/>
      <x:c r="M46" s="5"/>
      <x:c r="N46" s="5"/>
    </x:row>
    <x:row r="47" ht="21" customHeight="1">
      <x:c r="A47" s="3"/>
      <x:c r="B47" s="3"/>
      <x:c r="C47" s="21" t="str">
        <x:v>Each of two largest customers / sales</x:v>
      </x:c>
      <x:c r="D47" s="47" t="n">
        <x:v>0.12</x:v>
      </x:c>
      <x:c r="E47" s="45" t="str">
        <x:v>2025</x:v>
      </x:c>
      <x:c r="F47" s="4" t="str">
        <x:v>Media-reported</x:v>
      </x:c>
      <x:c r="G47" s="4" t="str">
        <x:v>S3</x:v>
      </x:c>
      <x:c r="H47" s="5"/>
      <x:c r="I47" s="5"/>
      <x:c r="J47" s="5"/>
      <x:c r="K47" s="5"/>
      <x:c r="L47" s="5"/>
      <x:c r="M47" s="5"/>
      <x:c r="N47" s="5"/>
    </x:row>
    <x:row r="48" ht="21" customHeight="1">
      <x:c r="A48" s="3"/>
      <x:c r="B48" s="3"/>
      <x:c r="C48" s="21" t="str">
        <x:v>Amazon and Google channels / sales</x:v>
      </x:c>
      <x:c r="D48" s="47" t="n">
        <x:v>0.47</x:v>
      </x:c>
      <x:c r="E48" s="45" t="str">
        <x:v>2025</x:v>
      </x:c>
      <x:c r="F48" s="4" t="str">
        <x:v>Media-reported</x:v>
      </x:c>
      <x:c r="G48" s="4" t="str">
        <x:v>S3</x:v>
      </x:c>
      <x:c r="H48" s="5"/>
      <x:c r="I48" s="5"/>
      <x:c r="J48" s="5"/>
      <x:c r="K48" s="5"/>
      <x:c r="L48" s="5"/>
      <x:c r="M48" s="5"/>
      <x:c r="N48" s="5"/>
    </x:row>
    <x:row r="49" ht="21" customHeight="1">
      <x:c r="A49" s="3"/>
      <x:c r="B49" s="3"/>
      <x:c r="C49" s="3" t="str">
        <x:v>Channel partner distribution fees</x:v>
      </x:c>
      <x:c r="D49" s="48" t="n">
        <x:v>0.351</x:v>
      </x:c>
      <x:c r="E49" s="45" t="str">
        <x:v>2025</x:v>
      </x:c>
      <x:c r="F49" s="4" t="str">
        <x:v>Media-reported</x:v>
      </x:c>
      <x:c r="G49" s="4" t="str">
        <x:v>S3</x:v>
      </x:c>
      <x:c r="H49" s="5"/>
      <x:c r="I49" s="5"/>
      <x:c r="J49" s="5"/>
      <x:c r="K49" s="5"/>
      <x:c r="L49" s="5"/>
      <x:c r="M49" s="5"/>
      <x:c r="N49" s="5"/>
    </x:row>
    <x:row r="50" ht="21" customHeight="1">
      <x:c r="A50" s="3"/>
      <x:c r="B50" s="3"/>
      <x:c r="C50" s="3" t="str">
        <x:v>Revenue run-rate, end-2025</x:v>
      </x:c>
      <x:c r="D50" s="44" t="n">
        <x:v>9</x:v>
      </x:c>
      <x:c r="E50" s="45" t="str">
        <x:v>Dec-25</x:v>
      </x:c>
      <x:c r="F50" s="4" t="str">
        <x:v>Company-reported</x:v>
      </x:c>
      <x:c r="G50" s="4" t="str">
        <x:v>S6</x:v>
      </x:c>
      <x:c r="H50" s="5"/>
      <x:c r="I50" s="5"/>
      <x:c r="J50" s="5"/>
      <x:c r="K50" s="5"/>
      <x:c r="L50" s="5"/>
      <x:c r="M50" s="5"/>
      <x:c r="N50" s="5"/>
    </x:row>
    <x:row r="51" ht="21" customHeight="1">
      <x:c r="A51" s="3"/>
      <x:c r="B51" s="3"/>
      <x:c r="C51" s="3" t="str">
        <x:v>Revenue run-rate, March 2026</x:v>
      </x:c>
      <x:c r="D51" s="44" t="n">
        <x:v>20</x:v>
      </x:c>
      <x:c r="E51" s="45" t="str">
        <x:v>Mar-26</x:v>
      </x:c>
      <x:c r="F51" s="4" t="str">
        <x:v>Media-reported</x:v>
      </x:c>
      <x:c r="G51" s="4" t="str">
        <x:v>S7</x:v>
      </x:c>
      <x:c r="H51" s="5"/>
      <x:c r="I51" s="5"/>
      <x:c r="J51" s="5"/>
      <x:c r="K51" s="5"/>
      <x:c r="L51" s="5"/>
      <x:c r="M51" s="5"/>
      <x:c r="N51" s="5"/>
    </x:row>
    <x:row r="52" ht="21" customHeight="1">
      <x:c r="A52" s="3"/>
      <x:c r="B52" s="3"/>
      <x:c r="C52" s="3" t="str">
        <x:v>Revenue run-rate, April 2026</x:v>
      </x:c>
      <x:c r="D52" s="44" t="n">
        <x:v>30</x:v>
      </x:c>
      <x:c r="E52" s="45" t="str">
        <x:v>Apr-26</x:v>
      </x:c>
      <x:c r="F52" s="4" t="str">
        <x:v>Media-reported</x:v>
      </x:c>
      <x:c r="G52" s="4" t="str">
        <x:v>S7</x:v>
      </x:c>
      <x:c r="H52" s="5"/>
      <x:c r="I52" s="5"/>
      <x:c r="J52" s="5"/>
      <x:c r="K52" s="5"/>
      <x:c r="L52" s="5"/>
      <x:c r="M52" s="5"/>
      <x:c r="N52" s="5"/>
    </x:row>
    <x:row r="53" ht="21" customHeight="1">
      <x:c r="A53" s="3"/>
      <x:c r="B53" s="3"/>
      <x:c r="C53" s="3" t="str">
        <x:v>Revenue run-rate, end-July 2026</x:v>
      </x:c>
      <x:c r="D53" s="44" t="n">
        <x:v>65</x:v>
      </x:c>
      <x:c r="E53" s="45" t="str">
        <x:v>Jul-26</x:v>
      </x:c>
      <x:c r="F53" s="4" t="str">
        <x:v>Company-reported</x:v>
      </x:c>
      <x:c r="G53" s="4" t="str">
        <x:v>S6</x:v>
      </x:c>
      <x:c r="H53" s="5"/>
      <x:c r="I53" s="5"/>
      <x:c r="J53" s="5"/>
      <x:c r="K53" s="5"/>
      <x:c r="L53" s="5"/>
      <x:c r="M53" s="5"/>
      <x:c r="N53" s="5"/>
    </x:row>
    <x:row r="54" ht="21" customHeight="1">
      <x:c r="A54" s="3"/>
      <x:c r="B54" s="3"/>
      <x:c r="C54" s="3" t="str">
        <x:v>Revenue run-rate, end-2026 expected</x:v>
      </x:c>
      <x:c r="D54" s="44" t="n">
        <x:v>110</x:v>
      </x:c>
      <x:c r="E54" s="45" t="str">
        <x:v>2026E</x:v>
      </x:c>
      <x:c r="F54" s="4" t="str">
        <x:v>Investor expectation</x:v>
      </x:c>
      <x:c r="G54" s="4" t="str">
        <x:v>S7</x:v>
      </x:c>
      <x:c r="H54" s="5"/>
      <x:c r="I54" s="5"/>
      <x:c r="J54" s="5"/>
      <x:c r="K54" s="5"/>
      <x:c r="L54" s="5"/>
      <x:c r="M54" s="5"/>
      <x:c r="N54" s="5"/>
    </x:row>
    <x:row r="55" ht="21" customHeight="1">
      <x:c r="A55" s="3"/>
      <x:c r="B55" s="3"/>
      <x:c r="C55" s="3" t="str">
        <x:v>Secondary-market implied value, about</x:v>
      </x:c>
      <x:c r="D55" s="44" t="n">
        <x:v>1100</x:v>
      </x:c>
      <x:c r="E55" s="45" t="str">
        <x:v>Oct-26</x:v>
      </x:c>
      <x:c r="F55" s="4" t="str">
        <x:v>Media-reported</x:v>
      </x:c>
      <x:c r="G55" s="4" t="str">
        <x:v>S8</x:v>
      </x:c>
      <x:c r="H55" s="5"/>
      <x:c r="I55" s="5"/>
      <x:c r="J55" s="5"/>
      <x:c r="K55" s="5"/>
      <x:c r="L55" s="5"/>
      <x:c r="M55" s="5"/>
      <x:c r="N55" s="5"/>
    </x:row>
    <x:row r="56" ht="21" customHeight="1">
      <x:c r="A56" s="3"/>
      <x:c r="B56" s="3"/>
      <x:c r="C56" s="3" t="str">
        <x:v>Institutional fair value, low</x:v>
      </x:c>
      <x:c r="D56" s="44" t="n">
        <x:v>1800</x:v>
      </x:c>
      <x:c r="E56" s="45" t="str">
        <x:v>Oct-26</x:v>
      </x:c>
      <x:c r="F56" s="4" t="str">
        <x:v>Media-reported</x:v>
      </x:c>
      <x:c r="G56" s="4" t="str">
        <x:v>S11</x:v>
      </x:c>
      <x:c r="H56" s="5"/>
      <x:c r="I56" s="5"/>
      <x:c r="J56" s="5"/>
      <x:c r="K56" s="5"/>
      <x:c r="L56" s="5"/>
      <x:c r="M56" s="5"/>
      <x:c r="N56" s="5"/>
    </x:row>
    <x:row r="57" ht="21" customHeight="1">
      <x:c r="A57" s="3"/>
      <x:c r="B57" s="3"/>
      <x:c r="C57" s="3" t="str">
        <x:v>Institutional fair value, high</x:v>
      </x:c>
      <x:c r="D57" s="44" t="n">
        <x:v>2000</x:v>
      </x:c>
      <x:c r="E57" s="45" t="str">
        <x:v>Oct-26</x:v>
      </x:c>
      <x:c r="F57" s="4" t="str">
        <x:v>Media-reported</x:v>
      </x:c>
      <x:c r="G57" s="4" t="str">
        <x:v>S11</x:v>
      </x:c>
      <x:c r="H57" s="5"/>
      <x:c r="I57" s="5"/>
      <x:c r="J57" s="5"/>
      <x:c r="K57" s="5"/>
      <x:c r="L57" s="5"/>
      <x:c r="M57" s="5"/>
      <x:c r="N57" s="5"/>
    </x:row>
    <x:row r="58" ht="21" customHeight="1">
      <x:c r="A58" s="3"/>
      <x:c r="B58" s="3"/>
      <x:c r="C58" s="3" t="str">
        <x:v>Pre-IPO perpetual futures implied value</x:v>
      </x:c>
      <x:c r="D58" s="44" t="n">
        <x:v>2150</x:v>
      </x:c>
      <x:c r="E58" s="45" t="str">
        <x:v>17-Sep-26</x:v>
      </x:c>
      <x:c r="F58" s="4" t="str">
        <x:v>Market-implied</x:v>
      </x:c>
      <x:c r="G58" s="4" t="str">
        <x:v>S10</x:v>
      </x:c>
      <x:c r="H58" s="5"/>
      <x:c r="I58" s="5"/>
      <x:c r="J58" s="5"/>
      <x:c r="K58" s="5"/>
      <x:c r="L58" s="5"/>
      <x:c r="M58" s="5"/>
      <x:c r="N58" s="5"/>
    </x:row>
    <x:row r="59" ht="21" customHeight="1">
      <x:c r="A59" s="3"/>
      <x:c r="B59" s="3"/>
      <x:c r="C59" s="3" t="str">
        <x:v>Pre-IPO perpetual futures peak</x:v>
      </x:c>
      <x:c r="D59" s="44" t="n">
        <x:v>2360</x:v>
      </x:c>
      <x:c r="E59" s="45" t="str">
        <x:v>Sep-26</x:v>
      </x:c>
      <x:c r="F59" s="4" t="str">
        <x:v>Market-implied</x:v>
      </x:c>
      <x:c r="G59" s="4" t="str">
        <x:v>S10</x:v>
      </x:c>
      <x:c r="H59" s="5"/>
      <x:c r="I59" s="5"/>
      <x:c r="J59" s="5"/>
      <x:c r="K59" s="5"/>
      <x:c r="L59" s="5"/>
      <x:c r="M59" s="5"/>
      <x:c r="N59" s="5"/>
    </x:row>
    <x:row r="60" ht="21" customHeight="1">
      <x:c r="A60" s="3"/>
      <x:c r="B60" s="3"/>
      <x:c r="C60" s="3" t="str">
        <x:v>AMD investment commitment, up to</x:v>
      </x:c>
      <x:c r="D60" s="44" t="n">
        <x:v>5</x:v>
      </x:c>
      <x:c r="E60" s="45" t="str">
        <x:v>22-Jul-26</x:v>
      </x:c>
      <x:c r="F60" s="4" t="str">
        <x:v>Media-reported</x:v>
      </x:c>
      <x:c r="G60" s="4" t="str">
        <x:v>S12</x:v>
      </x:c>
      <x:c r="H60" s="5"/>
      <x:c r="I60" s="5"/>
      <x:c r="J60" s="5"/>
      <x:c r="K60" s="5"/>
      <x:c r="L60" s="5"/>
      <x:c r="M60" s="5"/>
      <x:c r="N60" s="5"/>
    </x:row>
    <x:row r="61" ht="21" customHeight="1">
      <x:c r="A61" s="3"/>
      <x:c r="B61" s="3"/>
      <x:c r="C61" s="3" t="str">
        <x:v>AWS spend commitment, over</x:v>
      </x:c>
      <x:c r="D61" s="44" t="n">
        <x:v>100</x:v>
      </x:c>
      <x:c r="E61" s="45" t="str">
        <x:v>2026</x:v>
      </x:c>
      <x:c r="F61" s="4" t="str">
        <x:v>Company-reported</x:v>
      </x:c>
      <x:c r="G61" s="4" t="str">
        <x:v>S9</x:v>
      </x:c>
      <x:c r="H61" s="5"/>
      <x:c r="I61" s="5"/>
      <x:c r="J61" s="5"/>
      <x:c r="K61" s="5"/>
      <x:c r="L61" s="5"/>
      <x:c r="M61" s="5"/>
      <x:c r="N61" s="5"/>
    </x:row>
    <x:row r="62" ht="21" customHeight="1">
      <x:c r="A62" s="3"/>
      <x:c r="B62" s="3"/>
      <x:c r="C62" s="3" t="str">
        <x:v>Amazon investment commitment, up to</x:v>
      </x:c>
      <x:c r="D62" s="44" t="n">
        <x:v>33</x:v>
      </x:c>
      <x:c r="E62" s="45" t="str">
        <x:v>2026</x:v>
      </x:c>
      <x:c r="F62" s="4" t="str">
        <x:v>Media-reported</x:v>
      </x:c>
      <x:c r="G62" s="4" t="str">
        <x:v>S9</x:v>
      </x:c>
      <x:c r="H62" s="5"/>
      <x:c r="I62" s="5"/>
      <x:c r="J62" s="5"/>
      <x:c r="K62" s="5"/>
      <x:c r="L62" s="5"/>
      <x:c r="M62" s="5"/>
      <x:c r="N62" s="5"/>
    </x:row>
    <x:row r="63" ht="21" customHeight="1">
      <x:c r="A63" s="3"/>
      <x:c r="B63" s="3"/>
      <x:c r="C63" s="3" t="str">
        <x:v>IPO gross proceeds, up to</x:v>
      </x:c>
      <x:c r="D63" s="44" t="n">
        <x:v>100</x:v>
      </x:c>
      <x:c r="E63" s="45" t="str">
        <x:v>2026</x:v>
      </x:c>
      <x:c r="F63" s="4" t="str">
        <x:v>Media-reported</x:v>
      </x:c>
      <x:c r="G63" s="4" t="str">
        <x:v>S12</x:v>
      </x:c>
      <x:c r="H63" s="5"/>
      <x:c r="I63" s="5"/>
      <x:c r="J63" s="5"/>
      <x:c r="K63" s="5"/>
      <x:c r="L63" s="5"/>
      <x:c r="M63" s="5"/>
      <x:c r="N63" s="5"/>
    </x:row>
    <x:row r="64" ht="21" customHeight="1">
      <x:c r="A64" s="3"/>
      <x:c r="B64" s="3"/>
      <x:c r="C64" s="3" t="str">
        <x:v>Revolving credit facility</x:v>
      </x:c>
      <x:c r="D64" s="44" t="n">
        <x:v>15</x:v>
      </x:c>
      <x:c r="E64" s="45" t="str">
        <x:v>Oct-26</x:v>
      </x:c>
      <x:c r="F64" s="4" t="str">
        <x:v>Media-reported</x:v>
      </x:c>
      <x:c r="G64" s="4" t="str">
        <x:v>S12</x:v>
      </x:c>
      <x:c r="H64" s="5"/>
      <x:c r="I64" s="5"/>
      <x:c r="J64" s="5"/>
      <x:c r="K64" s="5"/>
      <x:c r="L64" s="5"/>
      <x:c r="M64" s="5"/>
      <x:c r="N64" s="5"/>
    </x:row>
    <x:row r="65" ht="21" customHeight="1">
      <x:c r="A65" s="3"/>
      <x:c r="B65" s="3"/>
      <x:c r="C65" s="3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</x:row>
    <x:row r="66" ht="21" customHeight="1">
      <x:c r="A66" s="3"/>
      <x:c r="B66" s="3"/>
      <x:c r="C66" s="49" t="str">
        <x:v>Conflict: two 2025 loss figures circulate - more than $8bn (Reuters, 29 Sep, draft prospectus) and close to $42bn [S9].</x:v>
      </x:c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</x:row>
    <x:row r="67" ht="21" customHeight="1">
      <x:c r="A67" s="3"/>
      <x:c r="B67" s="3"/>
      <x:c r="C67" s="49" t="str">
        <x:v>They cannot both be right. Neither is used in the model. Run-rate revenue annualises one month; it is not recognised revenue.</x:v>
      </x:c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</x:row>
    <x:row r="68" ht="21" customHeight="1">
      <x:c r="A68" s="3"/>
      <x:c r="B68" s="3"/>
      <x:c r="C68" s="3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</x:row>
    <x:row r="69" ht="23" customHeight="1">
      <x:c r="A69" s="3"/>
      <x:c r="B69" s="3"/>
      <x:c r="C69" s="12" t="str">
        <x:v>Source links</x:v>
      </x:c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</x:row>
    <x:row r="70" ht="21" customHeight="1">
      <x:c r="A70" s="3"/>
      <x:c r="B70" s="3"/>
      <x:c r="C70" s="3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</x:row>
    <x:row r="71" ht="21" customHeight="1">
      <x:c r="A71" s="3"/>
      <x:c r="B71" s="3"/>
      <x:c r="C71" s="3" t="str">
        <x:v>S1. Anthropic, 28 May 2026. Series H announcement.</x:v>
      </x:c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</x:row>
    <x:row r="72" ht="21" customHeight="1">
      <x:c r="A72" s="3"/>
      <x:c r="B72" s="3"/>
      <x:c r="C72" s="50" t="str">
        <x:v>https://www.anthropic.com/news/series-h</x:v>
      </x:c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</x:row>
    <x:row r="73" ht="21" customHeight="1">
      <x:c r="A73" s="3"/>
      <x:c r="B73" s="3"/>
      <x:c r="C73" s="3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</x:row>
    <x:row r="74" ht="21" customHeight="1">
      <x:c r="A74" s="3"/>
      <x:c r="B74" s="3"/>
      <x:c r="C74" s="3" t="str">
        <x:v>S2. Reuters, article dated 14 Aug 2026, syndicated 17 Aug. 2028 revenue projection.</x:v>
      </x:c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</x:row>
    <x:row r="75" ht="21" customHeight="1">
      <x:c r="A75" s="3"/>
      <x:c r="B75" s="3"/>
      <x:c r="C75" s="50" t="str">
        <x:v>https://www.investing.com/news/stock-market-news/anthropic-ipo-valuation-hinges-on-190200-billion-2028-revenue-forecast-sources-say-4862222?ampMode=1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</x:row>
    <x:row r="76" ht="21" customHeight="1">
      <x:c r="A76" s="3"/>
      <x:c r="B76" s="3"/>
      <x:c r="C76" s="3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</x:row>
    <x:row r="77" ht="21" customHeight="1">
      <x:c r="A77" s="3"/>
      <x:c r="B77" s="3"/>
      <x:c r="C77" s="3" t="str">
        <x:v>S3. Reuters, 29 Sep 2026. Prospectus figures and dependence on cloud partners.</x:v>
      </x:c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</x:row>
    <x:row r="78" ht="21" customHeight="1">
      <x:c r="A78" s="3"/>
      <x:c r="B78" s="3"/>
      <x:c r="C78" s="50" t="str">
        <x:v>https://www.streetinsider.com/Reuters/Exclusive-Anthropic%2BIPO%2Bprospectus%2Blays%2Bbare%2Bdeep%2Bdependence%2Bon%2BBig%2BTech%2Bpartners/27123187.html</x:v>
      </x:c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</x:row>
    <x:row r="79" ht="21" customHeight="1">
      <x:c r="A79" s="3"/>
      <x:c r="B79" s="3"/>
      <x:c r="C79" s="3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</x:row>
    <x:row r="80" ht="21" customHeight="1">
      <x:c r="A80" s="3"/>
      <x:c r="B80" s="3"/>
      <x:c r="C80" s="3" t="str">
        <x:v>S4. Axios, 18 Sep 2026. Reported revenue pace.</x:v>
      </x:c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</x:row>
    <x:row r="81" ht="21" customHeight="1">
      <x:c r="A81" s="3"/>
      <x:c r="B81" s="3"/>
      <x:c r="C81" s="50" t="str">
        <x:v>https://www.axios.com/2026/09/18/anthropic-100-billion-revenue</x:v>
      </x:c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</x:row>
    <x:row r="82" ht="21" customHeight="1">
      <x:c r="A82" s="3"/>
      <x:c r="B82" s="3"/>
      <x:c r="C82" s="3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</x:row>
    <x:row r="83" ht="21" customHeight="1">
      <x:c r="A83" s="3"/>
      <x:c r="B83" s="3"/>
      <x:c r="C83" s="3" t="str">
        <x:v>S5. Anthropic, 1 Jun 2026. Confidential draft S-1 submitted.</x:v>
      </x:c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</x:row>
    <x:row r="84" ht="21" customHeight="1">
      <x:c r="A84" s="3"/>
      <x:c r="B84" s="3"/>
      <x:c r="C84" s="50" t="str">
        <x:v>https://www.anthropic.com/news/confidential-draft-s1-sec</x:v>
      </x:c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</x:row>
    <x:row r="85" ht="21" customHeight="1">
      <x:c r="A85" s="3"/>
      <x:c r="B85" s="3"/>
      <x:c r="C85" s="3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</x:row>
    <x:row r="86" ht="21" customHeight="1">
      <x:c r="A86" s="3"/>
      <x:c r="B86" s="3"/>
      <x:c r="C86" s="3" t="str">
        <x:v>S6. Bloomberg, 17 Aug 2026, via Kagels Trading 6 Oct 2026. Run-rate path $9bn to $65bn.</x:v>
      </x:c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</x:row>
    <x:row r="87" ht="21" customHeight="1">
      <x:c r="A87" s="3"/>
      <x:c r="B87" s="3"/>
      <x:c r="C87" s="50" t="str">
        <x:v>https://kagels-trading.com/blog/anthropic-stock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</x:row>
    <x:row r="88" ht="21" customHeight="1">
      <x:c r="A88" s="3"/>
      <x:c r="B88" s="3"/>
      <x:c r="C88" s="3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</x:row>
    <x:row r="89" ht="21" customHeight="1">
      <x:c r="A89" s="3"/>
      <x:c r="B89" s="3"/>
      <x:c r="C89" s="3" t="str">
        <x:v>S7. Bloomberg and NYT, Sep 2026, via Kagels Trading. End-2026 run-rate expectation $100-120bn.</x:v>
      </x:c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</x:row>
    <x:row r="90" ht="21" customHeight="1">
      <x:c r="A90" s="3"/>
      <x:c r="B90" s="3"/>
      <x:c r="C90" s="50" t="str">
        <x:v>https://kagels-trading.com/blog/anthropic-stock</x:v>
      </x:c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</x:row>
    <x:row r="91" ht="21" customHeight="1">
      <x:c r="A91" s="3"/>
      <x:c r="B91" s="3"/>
      <x:c r="C91" s="3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</x:row>
    <x:row r="92" ht="21" customHeight="1">
      <x:c r="A92" s="3"/>
      <x:c r="B92" s="3"/>
      <x:c r="C92" s="3" t="str">
        <x:v>S8. Kagels Trading, 6 Oct 2026. Secondary market $1.05-1.15tn; EDGAR check 9 Oct 2026.</x:v>
      </x:c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</x:row>
    <x:row r="93" ht="21" customHeight="1">
      <x:c r="A93" s="3"/>
      <x:c r="B93" s="3"/>
      <x:c r="C93" s="50" t="str">
        <x:v>https://kagels-trading.com/blog/anthropic-stock</x:v>
      </x:c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</x:row>
    <x:row r="94" ht="21" customHeight="1">
      <x:c r="A94" s="3"/>
      <x:c r="B94" s="3"/>
      <x:c r="C94" s="3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</x:row>
    <x:row r="95" ht="21" customHeight="1">
      <x:c r="A95" s="3"/>
      <x:c r="B95" s="3"/>
      <x:c r="C95" s="3" t="str">
        <x:v>S9. Euronews, 17 Sep 2026. Amazon and AWS commitments; 2025 loss figure.</x:v>
      </x:c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</x:row>
    <x:row r="96" ht="21" customHeight="1">
      <x:c r="A96" s="3"/>
      <x:c r="B96" s="3"/>
      <x:c r="C96" s="50" t="str">
        <x:v>https://euronews.com/business/2026/09/17/anthropic-priced-above-2-trillion-as-markets-eagerly-await-ipo-filing</x:v>
      </x:c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</x:row>
    <x:row r="97" ht="21" customHeight="1">
      <x:c r="A97" s="3"/>
      <x:c r="B97" s="3"/>
      <x:c r="C97" s="3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</x:row>
    <x:row r="98" ht="21" customHeight="1">
      <x:c r="A98" s="3"/>
      <x:c r="B98" s="3"/>
      <x:c r="C98" s="3" t="str">
        <x:v>S10. Euronews and BrokerChooser, 17 Sep 2026. Hyperliquid pre-IPO perpetual futures.</x:v>
      </x:c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</x:row>
    <x:row r="99" ht="21" customHeight="1">
      <x:c r="A99" s="3"/>
      <x:c r="B99" s="3"/>
      <x:c r="C99" s="50" t="str">
        <x:v>https://brokerchooser.com/news/anthropic-breaks-2-trillion-valuation-barrier-ahead-of-ipo-debut--58150e7e</x:v>
      </x:c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</x:row>
    <x:row r="100" ht="21" customHeight="1">
      <x:c r="A100" s="3"/>
      <x:c r="B100" s="3"/>
      <x:c r="C100" s="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</x:row>
    <x:row r="101" ht="21" customHeight="1">
      <x:c r="A101" s="3"/>
      <x:c r="B101" s="3"/>
      <x:c r="C101" s="3" t="str">
        <x:v>S11. Bloomberg, 1 Oct 2026, via Fello AI. Fair value $1.8-2tn; marketing from 9 Nov.</x:v>
      </x:c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</x:row>
    <x:row r="102" ht="21" customHeight="1">
      <x:c r="A102" s="3"/>
      <x:c r="B102" s="3"/>
      <x:c r="C102" s="50" t="str">
        <x:v>https://felloai.com/anthropic-ipo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</x:row>
    <x:row r="103" ht="21" customHeight="1">
      <x:c r="A103" s="3"/>
      <x:c r="B103" s="3"/>
      <x:c r="C103" s="3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</x:row>
    <x:row r="104" ht="21" customHeight="1">
      <x:c r="A104" s="3"/>
      <x:c r="B104" s="3"/>
      <x:c r="C104" s="3" t="str">
        <x:v>S12. Fello AI, Oct 2026, citing WSJ and CNBC. Raise up to $100bn; revolver; AMD; Series G.</x:v>
      </x:c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</x:row>
    <x:row r="105" ht="21" customHeight="1">
      <x:c r="A105" s="3"/>
      <x:c r="B105" s="3"/>
      <x:c r="C105" s="50" t="str">
        <x:v>https://felloai.com/anthropic-ipo</x:v>
      </x:c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</x:row>
    <x:row r="106" ht="21" customHeight="1">
      <x:c r="A106" s="3"/>
      <x:c r="B106" s="3"/>
      <x:c r="C106" s="3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</x:row>
    <x:row r="107" ht="21" customHeight="1">
      <x:c r="A107" s="3"/>
      <x:c r="B107" s="3"/>
      <x:c r="C107" s="3" t="str">
        <x:v>S13. Reuters, 14 Aug 2026, LSEG data, via Pebblous. PLTR 53x, SpaceX 41.6x, Cloudflare 41.6x.</x:v>
      </x:c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</x:row>
    <x:row r="108" ht="21" customHeight="1">
      <x:c r="A108" s="3"/>
      <x:c r="B108" s="3"/>
      <x:c r="C108" s="50" t="str">
        <x:v>https://blog.pebblous.ai/report/anthropic-ipo-forward-revenue-multiple-2026-09/en</x:v>
      </x:c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</x:row>
    <x:row r="109" ht="21" customHeight="1">
      <x:c r="A109" s="3"/>
      <x:c r="B109" s="3"/>
      <x:c r="C109" s="3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</x:row>
    <x:row r="110" ht="21" customHeight="1">
      <x:c r="A110" s="3"/>
      <x:c r="B110" s="3"/>
      <x:c r="C110" s="3" t="str">
        <x:v>S14. openai-stock.com and Premier Alts, Oct 2026. OpenAI $852bn round, $70bn ARR, secondary marks.</x:v>
      </x:c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</x:row>
    <x:row r="111" ht="21" customHeight="1">
      <x:c r="A111" s="3"/>
      <x:c r="B111" s="3"/>
      <x:c r="C111" s="50" t="str">
        <x:v>https://openai-stock.com/valuation</x:v>
      </x:c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</x:row>
    <x:row r="112" ht="21" customHeight="1">
      <x:c r="A112" s="3"/>
      <x:c r="B112" s="3"/>
      <x:c r="C112" s="3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</x:row>
    <x:row r="113" ht="21" customHeight="1">
      <x:c r="A113" s="3"/>
      <x:c r="B113" s="3"/>
      <x:c r="C113" s="3" t="str">
        <x:v>S15. AI Business Weekly, Oct 2026. xAI $250bn (Feb-26); Mistral AI about $24bn (Sep-26).</x:v>
      </x:c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</x:row>
    <x:row r="114" ht="21" customHeight="1">
      <x:c r="A114" s="3"/>
      <x:c r="B114" s="3"/>
      <x:c r="C114" s="50" t="str">
        <x:v>https://aibusinessweekly.net/p/biggest-ai-companies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</x:row>
    <x:row r="115" ht="21" customHeight="1">
      <x:c r="A115" s="3"/>
      <x:c r="B115" s="3"/>
      <x:c r="C115" s="3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</x:row>
    <x:row r="116" ht="21" customHeight="1">
      <x:c r="A116" s="3"/>
      <x:c r="B116" s="3"/>
      <x:c r="C116" s="3" t="str">
        <x:v>S16. StockAnalysis, Yahoo Finance and Morningstar, Sep-Oct 2026. Public comp caps and multiples.</x:v>
      </x:c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</x:row>
    <x:row r="117" ht="21" customHeight="1">
      <x:c r="A117" s="3"/>
      <x:c r="B117" s="3"/>
      <x:c r="C117" s="50" t="str">
        <x:v>https://stockanalysis.com/stocks/snow/market-cap</x:v>
      </x:c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</x:row>
    <x:row r="118" ht="21" customHeight="1">
      <x:c r="A118" s="3"/>
      <x:c r="B118" s="3"/>
      <x:c r="C118" s="3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</x:row>
    <x:row r="119" ht="21" customHeight="1">
      <x:c r="A119" s="3"/>
      <x:c r="B119" s="3"/>
      <x:c r="C119" s="3" t="str">
        <x:v>S17. AInvest and Daloopa, May-Jun 2026. CoreWeave and Nebius EV to 2026 revenue.</x:v>
      </x:c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</x:row>
    <x:row r="120" ht="21" customHeight="1">
      <x:c r="A120" s="3"/>
      <x:c r="B120" s="3"/>
      <x:c r="C120" s="50" t="str">
        <x:v>https://www.ainvest.com/news/coreweave-nebius-market-cap-math-2605</x:v>
      </x:c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</x:row>
    <x:row r="121" ht="21" customHeight="1">
      <x:c r="A121" s="3"/>
      <x:c r="B121" s="3"/>
      <x:c r="C121" s="3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</x:row>
    <x:row r="122" ht="21" customHeight="1">
      <x:c r="A122" s="3"/>
      <x:c r="B122" s="3"/>
      <x:c r="C122" s="3" t="str">
        <x:v>The confidential draft itself was not independently reviewed. Reported targets and projections may change.</x:v>
      </x:c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</x:row>
    <x:row r="123" ht="21" customHeight="1">
      <x:c r="A123" s="3"/>
      <x:c r="B123" s="3"/>
      <x:c r="C123" s="3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</x:row>
    <x:row r="124" ht="21" customHeight="1">
      <x:c r="A124" s="3"/>
      <x:c r="B124" s="3"/>
      <x:c r="C124" s="3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</x:row>
    <x:row r="125" ht="21" customHeight="1">
      <x:c r="A125" s="3"/>
      <x:c r="B125" s="3"/>
      <x:c r="C125" s="3" t="str">
        <x:v>S18. Reuters, 15 Oct 21:00 UTC / 16 Oct 05:00 Beijing. IPO investor discussion.</x:v>
      </x:c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</x:row>
    <x:row r="126" ht="21" customHeight="1">
      <x:c r="A126" s="3"/>
      <x:c r="B126" s="3"/>
      <x:c r="C126" s="3" t="str">
        <x:v>https://www.aol.com/articles/exclusive-investors-temper-anthropic-ipo-210007000.html</x:v>
      </x:c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</x:row>
    <x:row r="127" ht="21" customHeight="1">
      <x:c r="A127" s="3"/>
      <x:c r="B127" s="3"/>
      <x:c r="C127" s="3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</x:row>
    <x:row r="128" ht="21" customHeight="1">
      <x:c r="A128" s="3"/>
      <x:c r="B128" s="3"/>
      <x:c r="C128" s="3" t="str">
        <x:v>S19. Reuters, 15 Oct Beijing. Quarterly revenue and decade-long compute commitments.</x:v>
      </x:c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</x:row>
    <x:row r="129" ht="21" customHeight="1">
      <x:c r="A129" s="3"/>
      <x:c r="B129" s="3"/>
      <x:c r="C129" s="3" t="str">
        <x:v>https://uk.marketscreener.com/news/anthropic-s-q3-revenue-surges-45-to-nearly-17-billion-ce785dd2d08cf221</x:v>
      </x:c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</x:row>
    <x:row r="130" ht="21" customHeight="1">
      <x:c r="A130" s="3"/>
      <x:c r="B130" s="3"/>
      <x:c r="C130" s="3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</x:row>
    <x:row r="131">
      <x:c r="C131" t="str">
        <x:v>S20. Reuters, 22 Oct 22:51 Beijing; November IPO timetable is provisional.</x:v>
      </x:c>
    </x:row>
    <x:row r="132">
      <x:c r="C132" t="str">
        <x:v>https://uk.marketscreener.com/news/anthropic-ipo-stands-alone-as-ai-market-jitters-sideline-others-ce785cdeda8cf026</x:v>
      </x:c>
    </x:row>
    <x:row r="134">
      <x:c r="C134" t="str">
        <x:v>S21. Anthropic, 18 Oct: 5% public-benefit share commitment, subject to shareholder approval.</x:v>
      </x:c>
    </x:row>
    <x:row r="135">
      <x:c r="C135" t="str">
        <x:v>https://www.anthropic.com/news/public-benefit-fund</x:v>
      </x:c>
    </x:row>
    <x:row r="137">
      <x:c r="C137" t="str">
        <x:v>S22. Claude Duet, 21 Oct: US Pro/Max research preview, with shared plan limits.</x:v>
      </x:c>
    </x:row>
    <x:row r="138">
      <x:c r="C138" t="str">
        <x:v>https://claude.com/resources/articles/claude-duet</x:v>
      </x:c>
    </x:row>
    <x:row r="140">
      <x:c r="C140" t="str">
        <x:v>S23. Claude Platform on Google Cloud, 22 Oct: Anthropic managed service generally available.</x:v>
      </x:c>
    </x:row>
    <x:row r="141">
      <x:c r="C141" t="str">
        <x:v>https://claude.com/resources/articles/claude-models-on-google-cloud-anthropic-managed</x:v>
      </x:c>
    </x:row>
    <x:row r="143">
      <x:c r="C143" t="str">
        <x:v>S24. Agent Skills donated to AAIF, 22 Oct; no quantified revenue or cash-flow uplift.</x:v>
      </x:c>
    </x:row>
    <x:row r="144">
      <x:c r="C144" t="str">
        <x:v>https://www.anthropic.com/news/donating-agent-skills-to-the-agentic-ai-foundation</x:v>
      </x:c>
    </x:row>
    <x:row r="146">
      <x:c r="C146" t="str">
        <x:v>S1 actuals in USD bn: FY2025 audited; H1 periods and quarterly MD&amp;A unaudited.</x:v>
      </x:c>
    </x:row>
    <x:row r="148" ht="25" customHeight="1">
      <x:c r="C148" s="143" t="str">
        <x:v>S1 actuals</x:v>
      </x:c>
      <x:c r="D148" s="143" t="str">
        <x:v>FY2025</x:v>
      </x:c>
      <x:c r="E148" s="143" t="str">
        <x:v>H1 2025</x:v>
      </x:c>
      <x:c r="F148" s="143" t="str">
        <x:v>H1 2026</x:v>
      </x:c>
      <x:c r="G148" s="143" t="str">
        <x:v>Unit</x:v>
      </x:c>
      <x:c r="H148" s="143" t="str">
        <x:v>Source</x:v>
      </x:c>
    </x:row>
    <x:row r="149" ht="23" customHeight="1">
      <x:c r="C149" s="129" t="str">
        <x:v>Revenue</x:v>
      </x:c>
      <x:c r="D149" s="130" t="n">
        <x:v>4.585</x:v>
      </x:c>
      <x:c r="E149" s="130" t="n">
        <x:v>1.163</x:v>
      </x:c>
      <x:c r="F149" s="130" t="n">
        <x:v>16.286</x:v>
      </x:c>
      <x:c r="G149" s="129" t="str">
        <x:v>USD bn</x:v>
      </x:c>
      <x:c r="H149" s="129" t="str">
        <x:v>S25</x:v>
      </x:c>
    </x:row>
    <x:row r="150" ht="23" customHeight="1">
      <x:c r="C150" s="129" t="str">
        <x:v>Operating income (loss)</x:v>
      </x:c>
      <x:c r="D150" s="130" t="n">
        <x:v>-8.06</x:v>
      </x:c>
      <x:c r="E150" s="130" t="n">
        <x:v>-2.135</x:v>
      </x:c>
      <x:c r="F150" s="130" t="n">
        <x:v>-0.693</x:v>
      </x:c>
      <x:c r="G150" s="129" t="str">
        <x:v>USD bn</x:v>
      </x:c>
      <x:c r="H150" s="129" t="str">
        <x:v>S25</x:v>
      </x:c>
    </x:row>
    <x:row r="151" ht="23" customHeight="1">
      <x:c r="C151" s="129" t="str">
        <x:v>Net income (loss)</x:v>
      </x:c>
      <x:c r="D151" s="130" t="n">
        <x:v>-41.965</x:v>
      </x:c>
      <x:c r="E151" s="130" t="n">
        <x:v>-12.969</x:v>
      </x:c>
      <x:c r="F151" s="130" t="n">
        <x:v>-80.748</x:v>
      </x:c>
      <x:c r="G151" s="129" t="str">
        <x:v>USD bn</x:v>
      </x:c>
      <x:c r="H151" s="129" t="str">
        <x:v>S25</x:v>
      </x:c>
    </x:row>
    <x:row r="152" ht="23" customHeight="1">
      <x:c r="C152" s="129" t="str">
        <x:v>Financing fair-value loss</x:v>
      </x:c>
      <x:c r="D152" s="130" t="n">
        <x:v>34.308</x:v>
      </x:c>
      <x:c r="E152" s="130" t="n">
        <x:v>10.942</x:v>
      </x:c>
      <x:c r="F152" s="130" t="n">
        <x:v>72.388</x:v>
      </x:c>
      <x:c r="G152" s="129" t="str">
        <x:v>USD bn</x:v>
      </x:c>
      <x:c r="H152" s="129" t="str">
        <x:v>S25</x:v>
      </x:c>
    </x:row>
    <x:row r="153" ht="23" customHeight="1">
      <x:c r="C153" s="129" t="str">
        <x:v>Operating cash flow</x:v>
      </x:c>
      <x:c r="D153" s="130" t="n">
        <x:v>-2.637</x:v>
      </x:c>
      <x:c r="E153" s="130" t="n">
        <x:v>-1.513</x:v>
      </x:c>
      <x:c r="F153" s="130" t="n">
        <x:v>3.929</x:v>
      </x:c>
      <x:c r="G153" s="129" t="str">
        <x:v>USD bn</x:v>
      </x:c>
      <x:c r="H153" s="129" t="str">
        <x:v>S25</x:v>
      </x:c>
    </x:row>
    <x:row r="154" ht="23" customHeight="1">
      <x:c r="C154" s="129" t="str">
        <x:v>Cash capex</x:v>
      </x:c>
      <x:c r="D154" s="130" t="n">
        <x:v>0.131</x:v>
      </x:c>
      <x:c r="E154" s="130" t="n">
        <x:v>0.018</x:v>
      </x:c>
      <x:c r="F154" s="130" t="n">
        <x:v>0.482</x:v>
      </x:c>
      <x:c r="G154" s="129" t="str">
        <x:v>USD bn</x:v>
      </x:c>
      <x:c r="H154" s="129" t="str">
        <x:v>S25</x:v>
      </x:c>
    </x:row>
    <x:row r="155" ht="23" customHeight="1">
      <x:c r="C155" s="129" t="str">
        <x:v>D&amp;A</x:v>
      </x:c>
      <x:c r="D155" s="130" t="n">
        <x:v>0.04</x:v>
      </x:c>
      <x:c r="E155" s="130" t="n">
        <x:v>0.014</x:v>
      </x:c>
      <x:c r="F155" s="130" t="n">
        <x:v>0.097</x:v>
      </x:c>
      <x:c r="G155" s="129" t="str">
        <x:v>USD bn</x:v>
      </x:c>
      <x:c r="H155" s="129" t="str">
        <x:v>S25</x:v>
      </x:c>
    </x:row>
    <x:row r="156" ht="23" customHeight="1">
      <x:c r="C156" s="129" t="str">
        <x:v>Share-based compensation</x:v>
      </x:c>
      <x:c r="D156" s="130" t="n">
        <x:v>1.158</x:v>
      </x:c>
      <x:c r="E156" s="130" t="n">
        <x:v>0.279</x:v>
      </x:c>
      <x:c r="F156" s="130" t="n">
        <x:v>2.185</x:v>
      </x:c>
      <x:c r="G156" s="129" t="str">
        <x:v>USD bn</x:v>
      </x:c>
      <x:c r="H156" s="129" t="str">
        <x:v>S25</x:v>
      </x:c>
    </x:row>
    <x:row r="157" ht="23" customHeight="1">
      <x:c r="C157" s="129"/>
      <x:c r="D157" s="129"/>
      <x:c r="E157" s="129"/>
      <x:c r="F157" s="129"/>
      <x:c r="G157" s="129"/>
      <x:c r="H157" s="129"/>
    </x:row>
    <x:row r="160" ht="25" customHeight="1">
      <x:c r="C160" s="143" t="str">
        <x:v>June 2026 balance / terms</x:v>
      </x:c>
      <x:c r="D160" s="143" t="str">
        <x:v>Value</x:v>
      </x:c>
      <x:c r="E160" s="143" t="str">
        <x:v>Unit</x:v>
      </x:c>
      <x:c r="F160" s="143" t="str">
        <x:v>Status</x:v>
      </x:c>
      <x:c r="G160" s="143" t="str">
        <x:v>Source</x:v>
      </x:c>
      <x:c r="H160" s="143"/>
    </x:row>
    <x:row r="161" ht="23" customHeight="1">
      <x:c r="C161" s="129" t="str">
        <x:v>Cash and equivalents</x:v>
      </x:c>
      <x:c r="D161" s="130" t="n">
        <x:v>112.389</x:v>
      </x:c>
      <x:c r="E161" s="129" t="str">
        <x:v>USD bn</x:v>
      </x:c>
      <x:c r="F161" s="129" t="str">
        <x:v>S1; see notes</x:v>
      </x:c>
      <x:c r="G161" s="129" t="str">
        <x:v>S25</x:v>
      </x:c>
      <x:c r="H161" s="129"/>
    </x:row>
    <x:row r="162" ht="23" customHeight="1">
      <x:c r="C162" s="129" t="str">
        <x:v>Short-term investments</x:v>
      </x:c>
      <x:c r="D162" s="130" t="n">
        <x:v>19.262</x:v>
      </x:c>
      <x:c r="E162" s="129" t="str">
        <x:v>USD bn</x:v>
      </x:c>
      <x:c r="F162" s="129" t="str">
        <x:v>S1; see notes</x:v>
      </x:c>
      <x:c r="G162" s="129" t="str">
        <x:v>S25</x:v>
      </x:c>
      <x:c r="H162" s="129"/>
    </x:row>
    <x:row r="163" ht="23" customHeight="1">
      <x:c r="C163" s="129" t="str">
        <x:v>Restricted cash (excluded)</x:v>
      </x:c>
      <x:c r="D163" s="130" t="n">
        <x:v>2.529</x:v>
      </x:c>
      <x:c r="E163" s="129" t="str">
        <x:v>USD bn</x:v>
      </x:c>
      <x:c r="F163" s="129" t="str">
        <x:v>S1; see notes</x:v>
      </x:c>
      <x:c r="G163" s="129" t="str">
        <x:v>S25</x:v>
      </x:c>
      <x:c r="H163" s="129"/>
    </x:row>
    <x:row r="164" ht="23" customHeight="1">
      <x:c r="C164" s="129" t="str">
        <x:v>Notes at fair value</x:v>
      </x:c>
      <x:c r="D164" s="130" t="n">
        <x:v>108.566</x:v>
      </x:c>
      <x:c r="E164" s="129" t="str">
        <x:v>USD bn</x:v>
      </x:c>
      <x:c r="F164" s="129" t="str">
        <x:v>S1; see notes</x:v>
      </x:c>
      <x:c r="G164" s="129" t="str">
        <x:v>S25</x:v>
      </x:c>
      <x:c r="H164" s="129"/>
    </x:row>
    <x:row r="165" ht="23" customHeight="1">
      <x:c r="C165" s="129" t="str">
        <x:v>Amazon 2023 principal</x:v>
      </x:c>
      <x:c r="D165" s="130" t="n">
        <x:v>2.186</x:v>
      </x:c>
      <x:c r="E165" s="129" t="str">
        <x:v>USD bn</x:v>
      </x:c>
      <x:c r="F165" s="129" t="str">
        <x:v>S1; see notes</x:v>
      </x:c>
      <x:c r="G165" s="129" t="str">
        <x:v>S25</x:v>
      </x:c>
      <x:c r="H165" s="129"/>
    </x:row>
    <x:row r="166" ht="23" customHeight="1">
      <x:c r="C166" s="129" t="str">
        <x:v>Amazon 2024 principal</x:v>
      </x:c>
      <x:c r="D166" s="130" t="n">
        <x:v>4.017</x:v>
      </x:c>
      <x:c r="E166" s="129" t="str">
        <x:v>USD bn</x:v>
      </x:c>
      <x:c r="F166" s="129" t="str">
        <x:v>S1; see notes</x:v>
      </x:c>
      <x:c r="G166" s="129" t="str">
        <x:v>S25</x:v>
      </x:c>
      <x:c r="H166" s="129"/>
    </x:row>
    <x:row r="167" ht="23" customHeight="1">
      <x:c r="C167" s="129" t="str">
        <x:v>Finance lease liabilities</x:v>
      </x:c>
      <x:c r="D167" s="130" t="n">
        <x:v>0.443</x:v>
      </x:c>
      <x:c r="E167" s="129" t="str">
        <x:v>USD bn</x:v>
      </x:c>
      <x:c r="F167" s="129" t="str">
        <x:v>S1; see notes</x:v>
      </x:c>
      <x:c r="G167" s="129" t="str">
        <x:v>S25</x:v>
      </x:c>
      <x:c r="H167" s="129"/>
    </x:row>
    <x:row r="168" ht="23" customHeight="1">
      <x:c r="C168" s="129" t="str">
        <x:v>Operating lease liabilities</x:v>
      </x:c>
      <x:c r="D168" s="130" t="n">
        <x:v>1.079</x:v>
      </x:c>
      <x:c r="E168" s="129" t="str">
        <x:v>USD bn</x:v>
      </x:c>
      <x:c r="F168" s="129" t="str">
        <x:v>S1; see notes</x:v>
      </x:c>
      <x:c r="G168" s="129" t="str">
        <x:v>S25</x:v>
      </x:c>
      <x:c r="H168" s="129"/>
    </x:row>
    <x:row r="169" ht="23" customHeight="1">
      <x:c r="C169" s="129" t="str">
        <x:v>Uncommenced lease obligations</x:v>
      </x:c>
      <x:c r="D169" s="130" t="n">
        <x:v>321.4</x:v>
      </x:c>
      <x:c r="E169" s="129" t="str">
        <x:v>USD bn</x:v>
      </x:c>
      <x:c r="F169" s="129" t="str">
        <x:v>S1; see notes</x:v>
      </x:c>
      <x:c r="G169" s="129" t="str">
        <x:v>S25</x:v>
      </x:c>
      <x:c r="H169" s="129"/>
    </x:row>
    <x:row r="170" ht="23" customHeight="1">
      <x:c r="C170" s="129" t="str">
        <x:v>Minimum purchase commitments</x:v>
      </x:c>
      <x:c r="D170" s="130" t="n">
        <x:v>265.6</x:v>
      </x:c>
      <x:c r="E170" s="129" t="str">
        <x:v>USD bn</x:v>
      </x:c>
      <x:c r="F170" s="129" t="str">
        <x:v>S1; see notes</x:v>
      </x:c>
      <x:c r="G170" s="129" t="str">
        <x:v>S25</x:v>
      </x:c>
      <x:c r="H170" s="129"/>
    </x:row>
    <x:row r="171" ht="23" customHeight="1">
      <x:c r="C171" s="129" t="str">
        <x:v>Amazon conversion ownership cap</x:v>
      </x:c>
      <x:c r="D171" s="131" t="n">
        <x:v>0.12</x:v>
      </x:c>
      <x:c r="E171" s="129" t="str">
        <x:v>fraction</x:v>
      </x:c>
      <x:c r="F171" s="129" t="str">
        <x:v>S1; see notes</x:v>
      </x:c>
      <x:c r="G171" s="129" t="str">
        <x:v>S25</x:v>
      </x:c>
      <x:c r="H171" s="129"/>
    </x:row>
    <x:row r="172" ht="23" customHeight="1">
      <x:c r="C172" s="129"/>
      <x:c r="D172" s="129"/>
      <x:c r="E172" s="129"/>
      <x:c r="F172" s="129"/>
      <x:c r="G172" s="129"/>
      <x:c r="H172" s="129"/>
    </x:row>
    <x:row r="173">
      <x:c r="C173" t="str">
        <x:v>Purchase commitments and uncommenced leases are separate multiyear categories, not current debt.</x:v>
      </x:c>
    </x:row>
    <x:row r="175">
      <x:c r="C175" t="str">
        <x:v>S25. Anthropic Form S-1 filed 26 Oct 2026. MD&amp;A p160/p164; statements F-5/F-7/F-12; notes F-35/F-58.</x:v>
      </x:c>
    </x:row>
    <x:row r="176">
      <x:c r="C176" t="str">
        <x:v>https://www.sec.gov/Archives/edgar/data/2130357/000162828026067168/anthropicpbc-sx1.htm</x:v>
      </x:c>
    </x:row>
    <x:row r="178">
      <x:c r="C178" t="str">
        <x:v>Retrieval: SEC HTML blocked / reader size limit. Filing PDF conversion checked; conversion fidelity is a source limitation.</x:v>
      </x:c>
    </x:row>
    <x:row r="179">
      <x:c r="C179" t="str">
        <x:v>https://sec2pdf.com/ANTHROPIC</x:v>
      </x:c>
    </x:row>
  </x:sheetData>
  <x:dataValidations count="3">
    <x:dataValidation type="decimal" operator="greaterThan" sqref="D10">
      <x:formula1>0</x:formula1>
    </x:dataValidation>
    <x:dataValidation type="decimal" operator="between" sqref="D11">
      <x:formula1>0.01</x:formula1>
      <x:formula2>0.99</x:formula2>
    </x:dataValidation>
    <x:dataValidation type="decimal" operator="between" sqref="D14">
      <x:formula1>0</x:formula1>
      <x:formula2>0.99</x:formula2>
    </x:dataValidation>
  </x:dataValidations>
  <x:pageMargins left="0.7" right="0.7" top="0.75" bottom="0.75" header="0.3" footer="0.3"/>
</x:worksheet>
</file>