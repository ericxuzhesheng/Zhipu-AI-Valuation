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0"/>
    <numFmt numFmtId="167" formatCode="#,##0&quot;x&quot;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C3E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/>
    </xf>
    <xf numFmtId="166" fontId="0" fillId="0" borderId="0" pivotButton="0" quotePrefix="0" xfId="0"/>
    <xf numFmtId="3" fontId="1" fillId="0" borderId="0" pivotButton="0" quotePrefix="0" xfId="0"/>
    <xf numFmtId="165" fontId="1" fillId="0" borderId="0" pivotButton="0" quotePrefix="0" xfId="0"/>
    <xf numFmtId="0" fontId="2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s="2" t="n">
        <v>0.135</v>
      </c>
    </row>
    <row r="3">
      <c r="A3" t="inlineStr">
        <is>
          <t>Terminal growth g</t>
        </is>
      </c>
      <c r="B3" s="2" t="n">
        <v>0.04</v>
      </c>
    </row>
    <row r="4">
      <c r="A4" t="inlineStr">
        <is>
          <t>Tax rate</t>
        </is>
      </c>
      <c r="B4" s="2" t="n">
        <v>0.15</v>
      </c>
    </row>
    <row r="5">
      <c r="A5" t="inlineStr">
        <is>
          <t>Shares outstanding (m)</t>
        </is>
      </c>
      <c r="B5" s="3" t="n">
        <v>435</v>
      </c>
    </row>
    <row r="6">
      <c r="A6" t="inlineStr">
        <is>
          <t>USD/HKD</t>
        </is>
      </c>
      <c r="B6" s="4" t="n">
        <v>7.8</v>
      </c>
    </row>
    <row r="7">
      <c r="A7" t="inlineStr">
        <is>
          <t>Net cash (US$m)</t>
        </is>
      </c>
      <c r="B7" s="3" t="n">
        <v>1500</v>
      </c>
    </row>
    <row r="8">
      <c r="A8" t="inlineStr">
        <is>
          <t>Market price (HK$)</t>
        </is>
      </c>
      <c r="B8" s="3" t="n">
        <v>2046</v>
      </c>
    </row>
    <row r="9">
      <c r="A9" t="inlineStr">
        <is>
          <t>2026E revenue (US$m)</t>
        </is>
      </c>
      <c r="B9" s="3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— Bear scenario</t>
        </is>
      </c>
    </row>
    <row r="2">
      <c r="A2" t="inlineStr">
        <is>
          <t>growth start</t>
        </is>
      </c>
      <c r="B2" s="2" t="n">
        <v>0.4</v>
      </c>
    </row>
    <row r="3">
      <c r="A3" t="inlineStr">
        <is>
          <t>growth end</t>
        </is>
      </c>
      <c r="B3" s="2" t="n">
        <v>0.06</v>
      </c>
    </row>
    <row r="4">
      <c r="A4" t="inlineStr">
        <is>
          <t>start op margin</t>
        </is>
      </c>
      <c r="B4" s="2" t="n">
        <v>-0.3</v>
      </c>
    </row>
    <row r="5">
      <c r="A5" t="inlineStr">
        <is>
          <t>terminal op margin</t>
        </is>
      </c>
      <c r="B5" s="2" t="n">
        <v>0.18</v>
      </c>
    </row>
    <row r="6">
      <c r="A6" t="inlineStr">
        <is>
          <t>sales-to-capital</t>
        </is>
      </c>
      <c r="B6" s="4" t="n">
        <v>2</v>
      </c>
    </row>
    <row r="9">
      <c r="A9" s="5" t="inlineStr">
        <is>
          <t>Year</t>
        </is>
      </c>
      <c r="B9" s="5" t="inlineStr">
        <is>
          <t>i</t>
        </is>
      </c>
      <c r="C9" s="5" t="inlineStr">
        <is>
          <t>growth</t>
        </is>
      </c>
      <c r="D9" s="5" t="inlineStr">
        <is>
          <t>revenue</t>
        </is>
      </c>
      <c r="E9" s="5" t="inlineStr">
        <is>
          <t>op margin</t>
        </is>
      </c>
      <c r="F9" s="5" t="inlineStr">
        <is>
          <t>EBIT</t>
        </is>
      </c>
      <c r="G9" s="5" t="inlineStr">
        <is>
          <t>NOPAT</t>
        </is>
      </c>
      <c r="H9" s="5" t="inlineStr">
        <is>
          <t>dRev</t>
        </is>
      </c>
      <c r="I9" s="5" t="inlineStr">
        <is>
          <t>reinvest</t>
        </is>
      </c>
      <c r="J9" s="5" t="inlineStr">
        <is>
          <t>FCFF</t>
        </is>
      </c>
      <c r="K9" s="5" t="inlineStr">
        <is>
          <t>disc</t>
        </is>
      </c>
      <c r="L9" s="5" t="inlineStr">
        <is>
          <t>PV</t>
        </is>
      </c>
    </row>
    <row r="10">
      <c r="A10" t="n">
        <v>2026</v>
      </c>
      <c r="B10" t="n">
        <v>0</v>
      </c>
      <c r="C10" s="2">
        <f>$B$2+($B$3-$B$2)*B10/9</f>
        <v/>
      </c>
      <c r="D10" s="3">
        <f>Assumptions!$B$9</f>
        <v/>
      </c>
      <c r="E10" s="2">
        <f>$B$4+($B$5-$B$4)*B10/9</f>
        <v/>
      </c>
      <c r="F10" s="3">
        <f>D10*E10</f>
        <v/>
      </c>
      <c r="G10" s="3">
        <f>F10*(1-Assumptions!$B$4)</f>
        <v/>
      </c>
      <c r="H10" s="3">
        <f>D10-Assumptions!$B$9/(1+C10)</f>
        <v/>
      </c>
      <c r="I10" s="3">
        <f>MAX(H10,0)/$B$6</f>
        <v/>
      </c>
      <c r="J10" s="3">
        <f>G10-I10</f>
        <v/>
      </c>
      <c r="K10" s="6">
        <f>1/(1+Assumptions!$B$2)^(B10+1)</f>
        <v/>
      </c>
      <c r="L10" s="3">
        <f>J10*K10</f>
        <v/>
      </c>
    </row>
    <row r="11">
      <c r="A11" t="n">
        <v>2027</v>
      </c>
      <c r="B11" t="n">
        <v>1</v>
      </c>
      <c r="C11" s="2">
        <f>$B$2+($B$3-$B$2)*B11/9</f>
        <v/>
      </c>
      <c r="D11" s="3">
        <f>D10*(1+C11)</f>
        <v/>
      </c>
      <c r="E11" s="2">
        <f>$B$4+($B$5-$B$4)*B11/9</f>
        <v/>
      </c>
      <c r="F11" s="3">
        <f>D11*E11</f>
        <v/>
      </c>
      <c r="G11" s="3">
        <f>F11*(1-Assumptions!$B$4)</f>
        <v/>
      </c>
      <c r="H11" s="3">
        <f>D11-D10</f>
        <v/>
      </c>
      <c r="I11" s="3">
        <f>MAX(H11,0)/$B$6</f>
        <v/>
      </c>
      <c r="J11" s="3">
        <f>G11-I11</f>
        <v/>
      </c>
      <c r="K11" s="6">
        <f>1/(1+Assumptions!$B$2)^(B11+1)</f>
        <v/>
      </c>
      <c r="L11" s="3">
        <f>J11*K11</f>
        <v/>
      </c>
    </row>
    <row r="12">
      <c r="A12" t="n">
        <v>2028</v>
      </c>
      <c r="B12" t="n">
        <v>2</v>
      </c>
      <c r="C12" s="2">
        <f>$B$2+($B$3-$B$2)*B12/9</f>
        <v/>
      </c>
      <c r="D12" s="3">
        <f>D11*(1+C12)</f>
        <v/>
      </c>
      <c r="E12" s="2">
        <f>$B$4+($B$5-$B$4)*B12/9</f>
        <v/>
      </c>
      <c r="F12" s="3">
        <f>D12*E12</f>
        <v/>
      </c>
      <c r="G12" s="3">
        <f>F12*(1-Assumptions!$B$4)</f>
        <v/>
      </c>
      <c r="H12" s="3">
        <f>D12-D11</f>
        <v/>
      </c>
      <c r="I12" s="3">
        <f>MAX(H12,0)/$B$6</f>
        <v/>
      </c>
      <c r="J12" s="3">
        <f>G12-I12</f>
        <v/>
      </c>
      <c r="K12" s="6">
        <f>1/(1+Assumptions!$B$2)^(B12+1)</f>
        <v/>
      </c>
      <c r="L12" s="3">
        <f>J12*K12</f>
        <v/>
      </c>
    </row>
    <row r="13">
      <c r="A13" t="n">
        <v>2029</v>
      </c>
      <c r="B13" t="n">
        <v>3</v>
      </c>
      <c r="C13" s="2">
        <f>$B$2+($B$3-$B$2)*B13/9</f>
        <v/>
      </c>
      <c r="D13" s="3">
        <f>D12*(1+C13)</f>
        <v/>
      </c>
      <c r="E13" s="2">
        <f>$B$4+($B$5-$B$4)*B13/9</f>
        <v/>
      </c>
      <c r="F13" s="3">
        <f>D13*E13</f>
        <v/>
      </c>
      <c r="G13" s="3">
        <f>F13*(1-Assumptions!$B$4)</f>
        <v/>
      </c>
      <c r="H13" s="3">
        <f>D13-D12</f>
        <v/>
      </c>
      <c r="I13" s="3">
        <f>MAX(H13,0)/$B$6</f>
        <v/>
      </c>
      <c r="J13" s="3">
        <f>G13-I13</f>
        <v/>
      </c>
      <c r="K13" s="6">
        <f>1/(1+Assumptions!$B$2)^(B13+1)</f>
        <v/>
      </c>
      <c r="L13" s="3">
        <f>J13*K13</f>
        <v/>
      </c>
    </row>
    <row r="14">
      <c r="A14" t="n">
        <v>2030</v>
      </c>
      <c r="B14" t="n">
        <v>4</v>
      </c>
      <c r="C14" s="2">
        <f>$B$2+($B$3-$B$2)*B14/9</f>
        <v/>
      </c>
      <c r="D14" s="3">
        <f>D13*(1+C14)</f>
        <v/>
      </c>
      <c r="E14" s="2">
        <f>$B$4+($B$5-$B$4)*B14/9</f>
        <v/>
      </c>
      <c r="F14" s="3">
        <f>D14*E14</f>
        <v/>
      </c>
      <c r="G14" s="3">
        <f>F14*(1-Assumptions!$B$4)</f>
        <v/>
      </c>
      <c r="H14" s="3">
        <f>D14-D13</f>
        <v/>
      </c>
      <c r="I14" s="3">
        <f>MAX(H14,0)/$B$6</f>
        <v/>
      </c>
      <c r="J14" s="3">
        <f>G14-I14</f>
        <v/>
      </c>
      <c r="K14" s="6">
        <f>1/(1+Assumptions!$B$2)^(B14+1)</f>
        <v/>
      </c>
      <c r="L14" s="3">
        <f>J14*K14</f>
        <v/>
      </c>
    </row>
    <row r="15">
      <c r="A15" t="n">
        <v>2031</v>
      </c>
      <c r="B15" t="n">
        <v>5</v>
      </c>
      <c r="C15" s="2">
        <f>$B$2+($B$3-$B$2)*B15/9</f>
        <v/>
      </c>
      <c r="D15" s="3">
        <f>D14*(1+C15)</f>
        <v/>
      </c>
      <c r="E15" s="2">
        <f>$B$4+($B$5-$B$4)*B15/9</f>
        <v/>
      </c>
      <c r="F15" s="3">
        <f>D15*E15</f>
        <v/>
      </c>
      <c r="G15" s="3">
        <f>F15*(1-Assumptions!$B$4)</f>
        <v/>
      </c>
      <c r="H15" s="3">
        <f>D15-D14</f>
        <v/>
      </c>
      <c r="I15" s="3">
        <f>MAX(H15,0)/$B$6</f>
        <v/>
      </c>
      <c r="J15" s="3">
        <f>G15-I15</f>
        <v/>
      </c>
      <c r="K15" s="6">
        <f>1/(1+Assumptions!$B$2)^(B15+1)</f>
        <v/>
      </c>
      <c r="L15" s="3">
        <f>J15*K15</f>
        <v/>
      </c>
    </row>
    <row r="16">
      <c r="A16" t="n">
        <v>2032</v>
      </c>
      <c r="B16" t="n">
        <v>6</v>
      </c>
      <c r="C16" s="2">
        <f>$B$2+($B$3-$B$2)*B16/9</f>
        <v/>
      </c>
      <c r="D16" s="3">
        <f>D15*(1+C16)</f>
        <v/>
      </c>
      <c r="E16" s="2">
        <f>$B$4+($B$5-$B$4)*B16/9</f>
        <v/>
      </c>
      <c r="F16" s="3">
        <f>D16*E16</f>
        <v/>
      </c>
      <c r="G16" s="3">
        <f>F16*(1-Assumptions!$B$4)</f>
        <v/>
      </c>
      <c r="H16" s="3">
        <f>D16-D15</f>
        <v/>
      </c>
      <c r="I16" s="3">
        <f>MAX(H16,0)/$B$6</f>
        <v/>
      </c>
      <c r="J16" s="3">
        <f>G16-I16</f>
        <v/>
      </c>
      <c r="K16" s="6">
        <f>1/(1+Assumptions!$B$2)^(B16+1)</f>
        <v/>
      </c>
      <c r="L16" s="3">
        <f>J16*K16</f>
        <v/>
      </c>
    </row>
    <row r="17">
      <c r="A17" t="n">
        <v>2033</v>
      </c>
      <c r="B17" t="n">
        <v>7</v>
      </c>
      <c r="C17" s="2">
        <f>$B$2+($B$3-$B$2)*B17/9</f>
        <v/>
      </c>
      <c r="D17" s="3">
        <f>D16*(1+C17)</f>
        <v/>
      </c>
      <c r="E17" s="2">
        <f>$B$4+($B$5-$B$4)*B17/9</f>
        <v/>
      </c>
      <c r="F17" s="3">
        <f>D17*E17</f>
        <v/>
      </c>
      <c r="G17" s="3">
        <f>F17*(1-Assumptions!$B$4)</f>
        <v/>
      </c>
      <c r="H17" s="3">
        <f>D17-D16</f>
        <v/>
      </c>
      <c r="I17" s="3">
        <f>MAX(H17,0)/$B$6</f>
        <v/>
      </c>
      <c r="J17" s="3">
        <f>G17-I17</f>
        <v/>
      </c>
      <c r="K17" s="6">
        <f>1/(1+Assumptions!$B$2)^(B17+1)</f>
        <v/>
      </c>
      <c r="L17" s="3">
        <f>J17*K17</f>
        <v/>
      </c>
    </row>
    <row r="18">
      <c r="A18" t="n">
        <v>2034</v>
      </c>
      <c r="B18" t="n">
        <v>8</v>
      </c>
      <c r="C18" s="2">
        <f>$B$2+($B$3-$B$2)*B18/9</f>
        <v/>
      </c>
      <c r="D18" s="3">
        <f>D17*(1+C18)</f>
        <v/>
      </c>
      <c r="E18" s="2">
        <f>$B$4+($B$5-$B$4)*B18/9</f>
        <v/>
      </c>
      <c r="F18" s="3">
        <f>D18*E18</f>
        <v/>
      </c>
      <c r="G18" s="3">
        <f>F18*(1-Assumptions!$B$4)</f>
        <v/>
      </c>
      <c r="H18" s="3">
        <f>D18-D17</f>
        <v/>
      </c>
      <c r="I18" s="3">
        <f>MAX(H18,0)/$B$6</f>
        <v/>
      </c>
      <c r="J18" s="3">
        <f>G18-I18</f>
        <v/>
      </c>
      <c r="K18" s="6">
        <f>1/(1+Assumptions!$B$2)^(B18+1)</f>
        <v/>
      </c>
      <c r="L18" s="3">
        <f>J18*K18</f>
        <v/>
      </c>
    </row>
    <row r="19">
      <c r="A19" t="n">
        <v>2035</v>
      </c>
      <c r="B19" t="n">
        <v>9</v>
      </c>
      <c r="C19" s="2">
        <f>$B$2+($B$3-$B$2)*B19/9</f>
        <v/>
      </c>
      <c r="D19" s="3">
        <f>D18*(1+C19)</f>
        <v/>
      </c>
      <c r="E19" s="2">
        <f>$B$4+($B$5-$B$4)*B19/9</f>
        <v/>
      </c>
      <c r="F19" s="3">
        <f>D19*E19</f>
        <v/>
      </c>
      <c r="G19" s="3">
        <f>F19*(1-Assumptions!$B$4)</f>
        <v/>
      </c>
      <c r="H19" s="3">
        <f>D19-D18</f>
        <v/>
      </c>
      <c r="I19" s="3">
        <f>MAX(H19,0)/$B$6</f>
        <v/>
      </c>
      <c r="J19" s="3">
        <f>G19-I19</f>
        <v/>
      </c>
      <c r="K19" s="6">
        <f>1/(1+Assumptions!$B$2)^(B19+1)</f>
        <v/>
      </c>
      <c r="L19" s="3">
        <f>J19*K19</f>
        <v/>
      </c>
    </row>
    <row r="21">
      <c r="A21" s="1" t="inlineStr">
        <is>
          <t>Sum PV (explicit)</t>
        </is>
      </c>
      <c r="B21" s="7">
        <f>SUM(L10:L19)</f>
        <v/>
      </c>
    </row>
    <row r="22">
      <c r="A22" s="1" t="inlineStr">
        <is>
          <t>Terminal value</t>
        </is>
      </c>
      <c r="B22" s="7">
        <f>J19*(1+Assumptions!$B$3)/(Assumptions!$B$2-Assumptions!$B$3)</f>
        <v/>
      </c>
    </row>
    <row r="23">
      <c r="A23" s="1" t="inlineStr">
        <is>
          <t>PV terminal</t>
        </is>
      </c>
      <c r="B23" s="7">
        <f>L19/J19*0+ J19*(1+Assumptions!$B$3)/(Assumptions!$B$2-Assumptions!$B$3)*K19</f>
        <v/>
      </c>
    </row>
    <row r="24">
      <c r="A24" s="1" t="inlineStr">
        <is>
          <t>Enterprise value</t>
        </is>
      </c>
      <c r="B24" s="7">
        <f>B21+B23</f>
        <v/>
      </c>
    </row>
    <row r="25">
      <c r="A25" s="1" t="inlineStr">
        <is>
          <t>Equity value (US$m)</t>
        </is>
      </c>
      <c r="B25" s="7">
        <f>B24+Assumptions!$B$7</f>
        <v/>
      </c>
    </row>
    <row r="26">
      <c r="A26" s="1" t="inlineStr">
        <is>
          <t>Per share (US$)</t>
        </is>
      </c>
      <c r="B26" s="8">
        <f>B25/Assumptions!$B$5</f>
        <v/>
      </c>
    </row>
    <row r="27">
      <c r="A27" s="1" t="inlineStr">
        <is>
          <t>Per share (HK$)</t>
        </is>
      </c>
      <c r="B27" s="7">
        <f>B26*Assumptions!$B$6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— Base scenario</t>
        </is>
      </c>
    </row>
    <row r="2">
      <c r="A2" t="inlineStr">
        <is>
          <t>growth start</t>
        </is>
      </c>
      <c r="B2" s="2" t="n">
        <v>0.62</v>
      </c>
    </row>
    <row r="3">
      <c r="A3" t="inlineStr">
        <is>
          <t>growth end</t>
        </is>
      </c>
      <c r="B3" s="2" t="n">
        <v>0.08</v>
      </c>
    </row>
    <row r="4">
      <c r="A4" t="inlineStr">
        <is>
          <t>start op margin</t>
        </is>
      </c>
      <c r="B4" s="2" t="n">
        <v>-0.3</v>
      </c>
    </row>
    <row r="5">
      <c r="A5" t="inlineStr">
        <is>
          <t>terminal op margin</t>
        </is>
      </c>
      <c r="B5" s="2" t="n">
        <v>0.28</v>
      </c>
    </row>
    <row r="6">
      <c r="A6" t="inlineStr">
        <is>
          <t>sales-to-capital</t>
        </is>
      </c>
      <c r="B6" s="4" t="n">
        <v>1.8</v>
      </c>
    </row>
    <row r="9">
      <c r="A9" s="5" t="inlineStr">
        <is>
          <t>Year</t>
        </is>
      </c>
      <c r="B9" s="5" t="inlineStr">
        <is>
          <t>i</t>
        </is>
      </c>
      <c r="C9" s="5" t="inlineStr">
        <is>
          <t>growth</t>
        </is>
      </c>
      <c r="D9" s="5" t="inlineStr">
        <is>
          <t>revenue</t>
        </is>
      </c>
      <c r="E9" s="5" t="inlineStr">
        <is>
          <t>op margin</t>
        </is>
      </c>
      <c r="F9" s="5" t="inlineStr">
        <is>
          <t>EBIT</t>
        </is>
      </c>
      <c r="G9" s="5" t="inlineStr">
        <is>
          <t>NOPAT</t>
        </is>
      </c>
      <c r="H9" s="5" t="inlineStr">
        <is>
          <t>dRev</t>
        </is>
      </c>
      <c r="I9" s="5" t="inlineStr">
        <is>
          <t>reinvest</t>
        </is>
      </c>
      <c r="J9" s="5" t="inlineStr">
        <is>
          <t>FCFF</t>
        </is>
      </c>
      <c r="K9" s="5" t="inlineStr">
        <is>
          <t>disc</t>
        </is>
      </c>
      <c r="L9" s="5" t="inlineStr">
        <is>
          <t>PV</t>
        </is>
      </c>
    </row>
    <row r="10">
      <c r="A10" t="n">
        <v>2026</v>
      </c>
      <c r="B10" t="n">
        <v>0</v>
      </c>
      <c r="C10" s="2">
        <f>$B$2+($B$3-$B$2)*B10/9</f>
        <v/>
      </c>
      <c r="D10" s="3">
        <f>Assumptions!$B$9</f>
        <v/>
      </c>
      <c r="E10" s="2">
        <f>$B$4+($B$5-$B$4)*B10/9</f>
        <v/>
      </c>
      <c r="F10" s="3">
        <f>D10*E10</f>
        <v/>
      </c>
      <c r="G10" s="3">
        <f>F10*(1-Assumptions!$B$4)</f>
        <v/>
      </c>
      <c r="H10" s="3">
        <f>D10-Assumptions!$B$9/(1+C10)</f>
        <v/>
      </c>
      <c r="I10" s="3">
        <f>MAX(H10,0)/$B$6</f>
        <v/>
      </c>
      <c r="J10" s="3">
        <f>G10-I10</f>
        <v/>
      </c>
      <c r="K10" s="6">
        <f>1/(1+Assumptions!$B$2)^(B10+1)</f>
        <v/>
      </c>
      <c r="L10" s="3">
        <f>J10*K10</f>
        <v/>
      </c>
    </row>
    <row r="11">
      <c r="A11" t="n">
        <v>2027</v>
      </c>
      <c r="B11" t="n">
        <v>1</v>
      </c>
      <c r="C11" s="2">
        <f>$B$2+($B$3-$B$2)*B11/9</f>
        <v/>
      </c>
      <c r="D11" s="3">
        <f>D10*(1+C11)</f>
        <v/>
      </c>
      <c r="E11" s="2">
        <f>$B$4+($B$5-$B$4)*B11/9</f>
        <v/>
      </c>
      <c r="F11" s="3">
        <f>D11*E11</f>
        <v/>
      </c>
      <c r="G11" s="3">
        <f>F11*(1-Assumptions!$B$4)</f>
        <v/>
      </c>
      <c r="H11" s="3">
        <f>D11-D10</f>
        <v/>
      </c>
      <c r="I11" s="3">
        <f>MAX(H11,0)/$B$6</f>
        <v/>
      </c>
      <c r="J11" s="3">
        <f>G11-I11</f>
        <v/>
      </c>
      <c r="K11" s="6">
        <f>1/(1+Assumptions!$B$2)^(B11+1)</f>
        <v/>
      </c>
      <c r="L11" s="3">
        <f>J11*K11</f>
        <v/>
      </c>
    </row>
    <row r="12">
      <c r="A12" t="n">
        <v>2028</v>
      </c>
      <c r="B12" t="n">
        <v>2</v>
      </c>
      <c r="C12" s="2">
        <f>$B$2+($B$3-$B$2)*B12/9</f>
        <v/>
      </c>
      <c r="D12" s="3">
        <f>D11*(1+C12)</f>
        <v/>
      </c>
      <c r="E12" s="2">
        <f>$B$4+($B$5-$B$4)*B12/9</f>
        <v/>
      </c>
      <c r="F12" s="3">
        <f>D12*E12</f>
        <v/>
      </c>
      <c r="G12" s="3">
        <f>F12*(1-Assumptions!$B$4)</f>
        <v/>
      </c>
      <c r="H12" s="3">
        <f>D12-D11</f>
        <v/>
      </c>
      <c r="I12" s="3">
        <f>MAX(H12,0)/$B$6</f>
        <v/>
      </c>
      <c r="J12" s="3">
        <f>G12-I12</f>
        <v/>
      </c>
      <c r="K12" s="6">
        <f>1/(1+Assumptions!$B$2)^(B12+1)</f>
        <v/>
      </c>
      <c r="L12" s="3">
        <f>J12*K12</f>
        <v/>
      </c>
    </row>
    <row r="13">
      <c r="A13" t="n">
        <v>2029</v>
      </c>
      <c r="B13" t="n">
        <v>3</v>
      </c>
      <c r="C13" s="2">
        <f>$B$2+($B$3-$B$2)*B13/9</f>
        <v/>
      </c>
      <c r="D13" s="3">
        <f>D12*(1+C13)</f>
        <v/>
      </c>
      <c r="E13" s="2">
        <f>$B$4+($B$5-$B$4)*B13/9</f>
        <v/>
      </c>
      <c r="F13" s="3">
        <f>D13*E13</f>
        <v/>
      </c>
      <c r="G13" s="3">
        <f>F13*(1-Assumptions!$B$4)</f>
        <v/>
      </c>
      <c r="H13" s="3">
        <f>D13-D12</f>
        <v/>
      </c>
      <c r="I13" s="3">
        <f>MAX(H13,0)/$B$6</f>
        <v/>
      </c>
      <c r="J13" s="3">
        <f>G13-I13</f>
        <v/>
      </c>
      <c r="K13" s="6">
        <f>1/(1+Assumptions!$B$2)^(B13+1)</f>
        <v/>
      </c>
      <c r="L13" s="3">
        <f>J13*K13</f>
        <v/>
      </c>
    </row>
    <row r="14">
      <c r="A14" t="n">
        <v>2030</v>
      </c>
      <c r="B14" t="n">
        <v>4</v>
      </c>
      <c r="C14" s="2">
        <f>$B$2+($B$3-$B$2)*B14/9</f>
        <v/>
      </c>
      <c r="D14" s="3">
        <f>D13*(1+C14)</f>
        <v/>
      </c>
      <c r="E14" s="2">
        <f>$B$4+($B$5-$B$4)*B14/9</f>
        <v/>
      </c>
      <c r="F14" s="3">
        <f>D14*E14</f>
        <v/>
      </c>
      <c r="G14" s="3">
        <f>F14*(1-Assumptions!$B$4)</f>
        <v/>
      </c>
      <c r="H14" s="3">
        <f>D14-D13</f>
        <v/>
      </c>
      <c r="I14" s="3">
        <f>MAX(H14,0)/$B$6</f>
        <v/>
      </c>
      <c r="J14" s="3">
        <f>G14-I14</f>
        <v/>
      </c>
      <c r="K14" s="6">
        <f>1/(1+Assumptions!$B$2)^(B14+1)</f>
        <v/>
      </c>
      <c r="L14" s="3">
        <f>J14*K14</f>
        <v/>
      </c>
    </row>
    <row r="15">
      <c r="A15" t="n">
        <v>2031</v>
      </c>
      <c r="B15" t="n">
        <v>5</v>
      </c>
      <c r="C15" s="2">
        <f>$B$2+($B$3-$B$2)*B15/9</f>
        <v/>
      </c>
      <c r="D15" s="3">
        <f>D14*(1+C15)</f>
        <v/>
      </c>
      <c r="E15" s="2">
        <f>$B$4+($B$5-$B$4)*B15/9</f>
        <v/>
      </c>
      <c r="F15" s="3">
        <f>D15*E15</f>
        <v/>
      </c>
      <c r="G15" s="3">
        <f>F15*(1-Assumptions!$B$4)</f>
        <v/>
      </c>
      <c r="H15" s="3">
        <f>D15-D14</f>
        <v/>
      </c>
      <c r="I15" s="3">
        <f>MAX(H15,0)/$B$6</f>
        <v/>
      </c>
      <c r="J15" s="3">
        <f>G15-I15</f>
        <v/>
      </c>
      <c r="K15" s="6">
        <f>1/(1+Assumptions!$B$2)^(B15+1)</f>
        <v/>
      </c>
      <c r="L15" s="3">
        <f>J15*K15</f>
        <v/>
      </c>
    </row>
    <row r="16">
      <c r="A16" t="n">
        <v>2032</v>
      </c>
      <c r="B16" t="n">
        <v>6</v>
      </c>
      <c r="C16" s="2">
        <f>$B$2+($B$3-$B$2)*B16/9</f>
        <v/>
      </c>
      <c r="D16" s="3">
        <f>D15*(1+C16)</f>
        <v/>
      </c>
      <c r="E16" s="2">
        <f>$B$4+($B$5-$B$4)*B16/9</f>
        <v/>
      </c>
      <c r="F16" s="3">
        <f>D16*E16</f>
        <v/>
      </c>
      <c r="G16" s="3">
        <f>F16*(1-Assumptions!$B$4)</f>
        <v/>
      </c>
      <c r="H16" s="3">
        <f>D16-D15</f>
        <v/>
      </c>
      <c r="I16" s="3">
        <f>MAX(H16,0)/$B$6</f>
        <v/>
      </c>
      <c r="J16" s="3">
        <f>G16-I16</f>
        <v/>
      </c>
      <c r="K16" s="6">
        <f>1/(1+Assumptions!$B$2)^(B16+1)</f>
        <v/>
      </c>
      <c r="L16" s="3">
        <f>J16*K16</f>
        <v/>
      </c>
    </row>
    <row r="17">
      <c r="A17" t="n">
        <v>2033</v>
      </c>
      <c r="B17" t="n">
        <v>7</v>
      </c>
      <c r="C17" s="2">
        <f>$B$2+($B$3-$B$2)*B17/9</f>
        <v/>
      </c>
      <c r="D17" s="3">
        <f>D16*(1+C17)</f>
        <v/>
      </c>
      <c r="E17" s="2">
        <f>$B$4+($B$5-$B$4)*B17/9</f>
        <v/>
      </c>
      <c r="F17" s="3">
        <f>D17*E17</f>
        <v/>
      </c>
      <c r="G17" s="3">
        <f>F17*(1-Assumptions!$B$4)</f>
        <v/>
      </c>
      <c r="H17" s="3">
        <f>D17-D16</f>
        <v/>
      </c>
      <c r="I17" s="3">
        <f>MAX(H17,0)/$B$6</f>
        <v/>
      </c>
      <c r="J17" s="3">
        <f>G17-I17</f>
        <v/>
      </c>
      <c r="K17" s="6">
        <f>1/(1+Assumptions!$B$2)^(B17+1)</f>
        <v/>
      </c>
      <c r="L17" s="3">
        <f>J17*K17</f>
        <v/>
      </c>
    </row>
    <row r="18">
      <c r="A18" t="n">
        <v>2034</v>
      </c>
      <c r="B18" t="n">
        <v>8</v>
      </c>
      <c r="C18" s="2">
        <f>$B$2+($B$3-$B$2)*B18/9</f>
        <v/>
      </c>
      <c r="D18" s="3">
        <f>D17*(1+C18)</f>
        <v/>
      </c>
      <c r="E18" s="2">
        <f>$B$4+($B$5-$B$4)*B18/9</f>
        <v/>
      </c>
      <c r="F18" s="3">
        <f>D18*E18</f>
        <v/>
      </c>
      <c r="G18" s="3">
        <f>F18*(1-Assumptions!$B$4)</f>
        <v/>
      </c>
      <c r="H18" s="3">
        <f>D18-D17</f>
        <v/>
      </c>
      <c r="I18" s="3">
        <f>MAX(H18,0)/$B$6</f>
        <v/>
      </c>
      <c r="J18" s="3">
        <f>G18-I18</f>
        <v/>
      </c>
      <c r="K18" s="6">
        <f>1/(1+Assumptions!$B$2)^(B18+1)</f>
        <v/>
      </c>
      <c r="L18" s="3">
        <f>J18*K18</f>
        <v/>
      </c>
    </row>
    <row r="19">
      <c r="A19" t="n">
        <v>2035</v>
      </c>
      <c r="B19" t="n">
        <v>9</v>
      </c>
      <c r="C19" s="2">
        <f>$B$2+($B$3-$B$2)*B19/9</f>
        <v/>
      </c>
      <c r="D19" s="3">
        <f>D18*(1+C19)</f>
        <v/>
      </c>
      <c r="E19" s="2">
        <f>$B$4+($B$5-$B$4)*B19/9</f>
        <v/>
      </c>
      <c r="F19" s="3">
        <f>D19*E19</f>
        <v/>
      </c>
      <c r="G19" s="3">
        <f>F19*(1-Assumptions!$B$4)</f>
        <v/>
      </c>
      <c r="H19" s="3">
        <f>D19-D18</f>
        <v/>
      </c>
      <c r="I19" s="3">
        <f>MAX(H19,0)/$B$6</f>
        <v/>
      </c>
      <c r="J19" s="3">
        <f>G19-I19</f>
        <v/>
      </c>
      <c r="K19" s="6">
        <f>1/(1+Assumptions!$B$2)^(B19+1)</f>
        <v/>
      </c>
      <c r="L19" s="3">
        <f>J19*K19</f>
        <v/>
      </c>
    </row>
    <row r="21">
      <c r="A21" s="1" t="inlineStr">
        <is>
          <t>Sum PV (explicit)</t>
        </is>
      </c>
      <c r="B21" s="7">
        <f>SUM(L10:L19)</f>
        <v/>
      </c>
    </row>
    <row r="22">
      <c r="A22" s="1" t="inlineStr">
        <is>
          <t>Terminal value</t>
        </is>
      </c>
      <c r="B22" s="7">
        <f>J19*(1+Assumptions!$B$3)/(Assumptions!$B$2-Assumptions!$B$3)</f>
        <v/>
      </c>
    </row>
    <row r="23">
      <c r="A23" s="1" t="inlineStr">
        <is>
          <t>PV terminal</t>
        </is>
      </c>
      <c r="B23" s="7">
        <f>L19/J19*0+ J19*(1+Assumptions!$B$3)/(Assumptions!$B$2-Assumptions!$B$3)*K19</f>
        <v/>
      </c>
    </row>
    <row r="24">
      <c r="A24" s="1" t="inlineStr">
        <is>
          <t>Enterprise value</t>
        </is>
      </c>
      <c r="B24" s="7">
        <f>B21+B23</f>
        <v/>
      </c>
    </row>
    <row r="25">
      <c r="A25" s="1" t="inlineStr">
        <is>
          <t>Equity value (US$m)</t>
        </is>
      </c>
      <c r="B25" s="7">
        <f>B24+Assumptions!$B$7</f>
        <v/>
      </c>
    </row>
    <row r="26">
      <c r="A26" s="1" t="inlineStr">
        <is>
          <t>Per share (US$)</t>
        </is>
      </c>
      <c r="B26" s="8">
        <f>B25/Assumptions!$B$5</f>
        <v/>
      </c>
    </row>
    <row r="27">
      <c r="A27" s="1" t="inlineStr">
        <is>
          <t>Per share (HK$)</t>
        </is>
      </c>
      <c r="B27" s="7">
        <f>B26*Assumptions!$B$6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— Bull scenario</t>
        </is>
      </c>
    </row>
    <row r="2">
      <c r="A2" t="inlineStr">
        <is>
          <t>growth start</t>
        </is>
      </c>
      <c r="B2" s="2" t="n">
        <v>0.85</v>
      </c>
    </row>
    <row r="3">
      <c r="A3" t="inlineStr">
        <is>
          <t>growth end</t>
        </is>
      </c>
      <c r="B3" s="2" t="n">
        <v>0.12</v>
      </c>
    </row>
    <row r="4">
      <c r="A4" t="inlineStr">
        <is>
          <t>start op margin</t>
        </is>
      </c>
      <c r="B4" s="2" t="n">
        <v>-0.3</v>
      </c>
    </row>
    <row r="5">
      <c r="A5" t="inlineStr">
        <is>
          <t>terminal op margin</t>
        </is>
      </c>
      <c r="B5" s="2" t="n">
        <v>0.35</v>
      </c>
    </row>
    <row r="6">
      <c r="A6" t="inlineStr">
        <is>
          <t>sales-to-capital</t>
        </is>
      </c>
      <c r="B6" s="4" t="n">
        <v>1.6</v>
      </c>
    </row>
    <row r="9">
      <c r="A9" s="5" t="inlineStr">
        <is>
          <t>Year</t>
        </is>
      </c>
      <c r="B9" s="5" t="inlineStr">
        <is>
          <t>i</t>
        </is>
      </c>
      <c r="C9" s="5" t="inlineStr">
        <is>
          <t>growth</t>
        </is>
      </c>
      <c r="D9" s="5" t="inlineStr">
        <is>
          <t>revenue</t>
        </is>
      </c>
      <c r="E9" s="5" t="inlineStr">
        <is>
          <t>op margin</t>
        </is>
      </c>
      <c r="F9" s="5" t="inlineStr">
        <is>
          <t>EBIT</t>
        </is>
      </c>
      <c r="G9" s="5" t="inlineStr">
        <is>
          <t>NOPAT</t>
        </is>
      </c>
      <c r="H9" s="5" t="inlineStr">
        <is>
          <t>dRev</t>
        </is>
      </c>
      <c r="I9" s="5" t="inlineStr">
        <is>
          <t>reinvest</t>
        </is>
      </c>
      <c r="J9" s="5" t="inlineStr">
        <is>
          <t>FCFF</t>
        </is>
      </c>
      <c r="K9" s="5" t="inlineStr">
        <is>
          <t>disc</t>
        </is>
      </c>
      <c r="L9" s="5" t="inlineStr">
        <is>
          <t>PV</t>
        </is>
      </c>
    </row>
    <row r="10">
      <c r="A10" t="n">
        <v>2026</v>
      </c>
      <c r="B10" t="n">
        <v>0</v>
      </c>
      <c r="C10" s="2">
        <f>$B$2+($B$3-$B$2)*B10/9</f>
        <v/>
      </c>
      <c r="D10" s="3">
        <f>Assumptions!$B$9</f>
        <v/>
      </c>
      <c r="E10" s="2">
        <f>$B$4+($B$5-$B$4)*B10/9</f>
        <v/>
      </c>
      <c r="F10" s="3">
        <f>D10*E10</f>
        <v/>
      </c>
      <c r="G10" s="3">
        <f>F10*(1-Assumptions!$B$4)</f>
        <v/>
      </c>
      <c r="H10" s="3">
        <f>D10-Assumptions!$B$9/(1+C10)</f>
        <v/>
      </c>
      <c r="I10" s="3">
        <f>MAX(H10,0)/$B$6</f>
        <v/>
      </c>
      <c r="J10" s="3">
        <f>G10-I10</f>
        <v/>
      </c>
      <c r="K10" s="6">
        <f>1/(1+Assumptions!$B$2)^(B10+1)</f>
        <v/>
      </c>
      <c r="L10" s="3">
        <f>J10*K10</f>
        <v/>
      </c>
    </row>
    <row r="11">
      <c r="A11" t="n">
        <v>2027</v>
      </c>
      <c r="B11" t="n">
        <v>1</v>
      </c>
      <c r="C11" s="2">
        <f>$B$2+($B$3-$B$2)*B11/9</f>
        <v/>
      </c>
      <c r="D11" s="3">
        <f>D10*(1+C11)</f>
        <v/>
      </c>
      <c r="E11" s="2">
        <f>$B$4+($B$5-$B$4)*B11/9</f>
        <v/>
      </c>
      <c r="F11" s="3">
        <f>D11*E11</f>
        <v/>
      </c>
      <c r="G11" s="3">
        <f>F11*(1-Assumptions!$B$4)</f>
        <v/>
      </c>
      <c r="H11" s="3">
        <f>D11-D10</f>
        <v/>
      </c>
      <c r="I11" s="3">
        <f>MAX(H11,0)/$B$6</f>
        <v/>
      </c>
      <c r="J11" s="3">
        <f>G11-I11</f>
        <v/>
      </c>
      <c r="K11" s="6">
        <f>1/(1+Assumptions!$B$2)^(B11+1)</f>
        <v/>
      </c>
      <c r="L11" s="3">
        <f>J11*K11</f>
        <v/>
      </c>
    </row>
    <row r="12">
      <c r="A12" t="n">
        <v>2028</v>
      </c>
      <c r="B12" t="n">
        <v>2</v>
      </c>
      <c r="C12" s="2">
        <f>$B$2+($B$3-$B$2)*B12/9</f>
        <v/>
      </c>
      <c r="D12" s="3">
        <f>D11*(1+C12)</f>
        <v/>
      </c>
      <c r="E12" s="2">
        <f>$B$4+($B$5-$B$4)*B12/9</f>
        <v/>
      </c>
      <c r="F12" s="3">
        <f>D12*E12</f>
        <v/>
      </c>
      <c r="G12" s="3">
        <f>F12*(1-Assumptions!$B$4)</f>
        <v/>
      </c>
      <c r="H12" s="3">
        <f>D12-D11</f>
        <v/>
      </c>
      <c r="I12" s="3">
        <f>MAX(H12,0)/$B$6</f>
        <v/>
      </c>
      <c r="J12" s="3">
        <f>G12-I12</f>
        <v/>
      </c>
      <c r="K12" s="6">
        <f>1/(1+Assumptions!$B$2)^(B12+1)</f>
        <v/>
      </c>
      <c r="L12" s="3">
        <f>J12*K12</f>
        <v/>
      </c>
    </row>
    <row r="13">
      <c r="A13" t="n">
        <v>2029</v>
      </c>
      <c r="B13" t="n">
        <v>3</v>
      </c>
      <c r="C13" s="2">
        <f>$B$2+($B$3-$B$2)*B13/9</f>
        <v/>
      </c>
      <c r="D13" s="3">
        <f>D12*(1+C13)</f>
        <v/>
      </c>
      <c r="E13" s="2">
        <f>$B$4+($B$5-$B$4)*B13/9</f>
        <v/>
      </c>
      <c r="F13" s="3">
        <f>D13*E13</f>
        <v/>
      </c>
      <c r="G13" s="3">
        <f>F13*(1-Assumptions!$B$4)</f>
        <v/>
      </c>
      <c r="H13" s="3">
        <f>D13-D12</f>
        <v/>
      </c>
      <c r="I13" s="3">
        <f>MAX(H13,0)/$B$6</f>
        <v/>
      </c>
      <c r="J13" s="3">
        <f>G13-I13</f>
        <v/>
      </c>
      <c r="K13" s="6">
        <f>1/(1+Assumptions!$B$2)^(B13+1)</f>
        <v/>
      </c>
      <c r="L13" s="3">
        <f>J13*K13</f>
        <v/>
      </c>
    </row>
    <row r="14">
      <c r="A14" t="n">
        <v>2030</v>
      </c>
      <c r="B14" t="n">
        <v>4</v>
      </c>
      <c r="C14" s="2">
        <f>$B$2+($B$3-$B$2)*B14/9</f>
        <v/>
      </c>
      <c r="D14" s="3">
        <f>D13*(1+C14)</f>
        <v/>
      </c>
      <c r="E14" s="2">
        <f>$B$4+($B$5-$B$4)*B14/9</f>
        <v/>
      </c>
      <c r="F14" s="3">
        <f>D14*E14</f>
        <v/>
      </c>
      <c r="G14" s="3">
        <f>F14*(1-Assumptions!$B$4)</f>
        <v/>
      </c>
      <c r="H14" s="3">
        <f>D14-D13</f>
        <v/>
      </c>
      <c r="I14" s="3">
        <f>MAX(H14,0)/$B$6</f>
        <v/>
      </c>
      <c r="J14" s="3">
        <f>G14-I14</f>
        <v/>
      </c>
      <c r="K14" s="6">
        <f>1/(1+Assumptions!$B$2)^(B14+1)</f>
        <v/>
      </c>
      <c r="L14" s="3">
        <f>J14*K14</f>
        <v/>
      </c>
    </row>
    <row r="15">
      <c r="A15" t="n">
        <v>2031</v>
      </c>
      <c r="B15" t="n">
        <v>5</v>
      </c>
      <c r="C15" s="2">
        <f>$B$2+($B$3-$B$2)*B15/9</f>
        <v/>
      </c>
      <c r="D15" s="3">
        <f>D14*(1+C15)</f>
        <v/>
      </c>
      <c r="E15" s="2">
        <f>$B$4+($B$5-$B$4)*B15/9</f>
        <v/>
      </c>
      <c r="F15" s="3">
        <f>D15*E15</f>
        <v/>
      </c>
      <c r="G15" s="3">
        <f>F15*(1-Assumptions!$B$4)</f>
        <v/>
      </c>
      <c r="H15" s="3">
        <f>D15-D14</f>
        <v/>
      </c>
      <c r="I15" s="3">
        <f>MAX(H15,0)/$B$6</f>
        <v/>
      </c>
      <c r="J15" s="3">
        <f>G15-I15</f>
        <v/>
      </c>
      <c r="K15" s="6">
        <f>1/(1+Assumptions!$B$2)^(B15+1)</f>
        <v/>
      </c>
      <c r="L15" s="3">
        <f>J15*K15</f>
        <v/>
      </c>
    </row>
    <row r="16">
      <c r="A16" t="n">
        <v>2032</v>
      </c>
      <c r="B16" t="n">
        <v>6</v>
      </c>
      <c r="C16" s="2">
        <f>$B$2+($B$3-$B$2)*B16/9</f>
        <v/>
      </c>
      <c r="D16" s="3">
        <f>D15*(1+C16)</f>
        <v/>
      </c>
      <c r="E16" s="2">
        <f>$B$4+($B$5-$B$4)*B16/9</f>
        <v/>
      </c>
      <c r="F16" s="3">
        <f>D16*E16</f>
        <v/>
      </c>
      <c r="G16" s="3">
        <f>F16*(1-Assumptions!$B$4)</f>
        <v/>
      </c>
      <c r="H16" s="3">
        <f>D16-D15</f>
        <v/>
      </c>
      <c r="I16" s="3">
        <f>MAX(H16,0)/$B$6</f>
        <v/>
      </c>
      <c r="J16" s="3">
        <f>G16-I16</f>
        <v/>
      </c>
      <c r="K16" s="6">
        <f>1/(1+Assumptions!$B$2)^(B16+1)</f>
        <v/>
      </c>
      <c r="L16" s="3">
        <f>J16*K16</f>
        <v/>
      </c>
    </row>
    <row r="17">
      <c r="A17" t="n">
        <v>2033</v>
      </c>
      <c r="B17" t="n">
        <v>7</v>
      </c>
      <c r="C17" s="2">
        <f>$B$2+($B$3-$B$2)*B17/9</f>
        <v/>
      </c>
      <c r="D17" s="3">
        <f>D16*(1+C17)</f>
        <v/>
      </c>
      <c r="E17" s="2">
        <f>$B$4+($B$5-$B$4)*B17/9</f>
        <v/>
      </c>
      <c r="F17" s="3">
        <f>D17*E17</f>
        <v/>
      </c>
      <c r="G17" s="3">
        <f>F17*(1-Assumptions!$B$4)</f>
        <v/>
      </c>
      <c r="H17" s="3">
        <f>D17-D16</f>
        <v/>
      </c>
      <c r="I17" s="3">
        <f>MAX(H17,0)/$B$6</f>
        <v/>
      </c>
      <c r="J17" s="3">
        <f>G17-I17</f>
        <v/>
      </c>
      <c r="K17" s="6">
        <f>1/(1+Assumptions!$B$2)^(B17+1)</f>
        <v/>
      </c>
      <c r="L17" s="3">
        <f>J17*K17</f>
        <v/>
      </c>
    </row>
    <row r="18">
      <c r="A18" t="n">
        <v>2034</v>
      </c>
      <c r="B18" t="n">
        <v>8</v>
      </c>
      <c r="C18" s="2">
        <f>$B$2+($B$3-$B$2)*B18/9</f>
        <v/>
      </c>
      <c r="D18" s="3">
        <f>D17*(1+C18)</f>
        <v/>
      </c>
      <c r="E18" s="2">
        <f>$B$4+($B$5-$B$4)*B18/9</f>
        <v/>
      </c>
      <c r="F18" s="3">
        <f>D18*E18</f>
        <v/>
      </c>
      <c r="G18" s="3">
        <f>F18*(1-Assumptions!$B$4)</f>
        <v/>
      </c>
      <c r="H18" s="3">
        <f>D18-D17</f>
        <v/>
      </c>
      <c r="I18" s="3">
        <f>MAX(H18,0)/$B$6</f>
        <v/>
      </c>
      <c r="J18" s="3">
        <f>G18-I18</f>
        <v/>
      </c>
      <c r="K18" s="6">
        <f>1/(1+Assumptions!$B$2)^(B18+1)</f>
        <v/>
      </c>
      <c r="L18" s="3">
        <f>J18*K18</f>
        <v/>
      </c>
    </row>
    <row r="19">
      <c r="A19" t="n">
        <v>2035</v>
      </c>
      <c r="B19" t="n">
        <v>9</v>
      </c>
      <c r="C19" s="2">
        <f>$B$2+($B$3-$B$2)*B19/9</f>
        <v/>
      </c>
      <c r="D19" s="3">
        <f>D18*(1+C19)</f>
        <v/>
      </c>
      <c r="E19" s="2">
        <f>$B$4+($B$5-$B$4)*B19/9</f>
        <v/>
      </c>
      <c r="F19" s="3">
        <f>D19*E19</f>
        <v/>
      </c>
      <c r="G19" s="3">
        <f>F19*(1-Assumptions!$B$4)</f>
        <v/>
      </c>
      <c r="H19" s="3">
        <f>D19-D18</f>
        <v/>
      </c>
      <c r="I19" s="3">
        <f>MAX(H19,0)/$B$6</f>
        <v/>
      </c>
      <c r="J19" s="3">
        <f>G19-I19</f>
        <v/>
      </c>
      <c r="K19" s="6">
        <f>1/(1+Assumptions!$B$2)^(B19+1)</f>
        <v/>
      </c>
      <c r="L19" s="3">
        <f>J19*K19</f>
        <v/>
      </c>
    </row>
    <row r="21">
      <c r="A21" s="1" t="inlineStr">
        <is>
          <t>Sum PV (explicit)</t>
        </is>
      </c>
      <c r="B21" s="7">
        <f>SUM(L10:L19)</f>
        <v/>
      </c>
    </row>
    <row r="22">
      <c r="A22" s="1" t="inlineStr">
        <is>
          <t>Terminal value</t>
        </is>
      </c>
      <c r="B22" s="7">
        <f>J19*(1+Assumptions!$B$3)/(Assumptions!$B$2-Assumptions!$B$3)</f>
        <v/>
      </c>
    </row>
    <row r="23">
      <c r="A23" s="1" t="inlineStr">
        <is>
          <t>PV terminal</t>
        </is>
      </c>
      <c r="B23" s="7">
        <f>L19/J19*0+ J19*(1+Assumptions!$B$3)/(Assumptions!$B$2-Assumptions!$B$3)*K19</f>
        <v/>
      </c>
    </row>
    <row r="24">
      <c r="A24" s="1" t="inlineStr">
        <is>
          <t>Enterprise value</t>
        </is>
      </c>
      <c r="B24" s="7">
        <f>B21+B23</f>
        <v/>
      </c>
    </row>
    <row r="25">
      <c r="A25" s="1" t="inlineStr">
        <is>
          <t>Equity value (US$m)</t>
        </is>
      </c>
      <c r="B25" s="7">
        <f>B24+Assumptions!$B$7</f>
        <v/>
      </c>
    </row>
    <row r="26">
      <c r="A26" s="1" t="inlineStr">
        <is>
          <t>Per share (US$)</t>
        </is>
      </c>
      <c r="B26" s="8">
        <f>B25/Assumptions!$B$5</f>
        <v/>
      </c>
    </row>
    <row r="27">
      <c r="A27" s="1" t="inlineStr">
        <is>
          <t>Per share (HK$)</t>
        </is>
      </c>
      <c r="B27" s="7">
        <f>B26*Assumptions!$B$6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VALUATION SUMMARY</t>
        </is>
      </c>
    </row>
    <row r="3">
      <c r="A3" s="9" t="inlineStr">
        <is>
          <t>Scenario</t>
        </is>
      </c>
      <c r="B3" s="9" t="inlineStr">
        <is>
          <t>Prob</t>
        </is>
      </c>
      <c r="C3" s="9" t="inlineStr">
        <is>
          <t>Equity (US$m)</t>
        </is>
      </c>
      <c r="D3" s="9" t="inlineStr">
        <is>
          <t>Per share (HK$)</t>
        </is>
      </c>
    </row>
    <row r="4">
      <c r="A4" t="inlineStr">
        <is>
          <t>Bear</t>
        </is>
      </c>
      <c r="B4" s="2" t="n">
        <v>0.35</v>
      </c>
      <c r="C4" s="3">
        <f>Bear!B25</f>
        <v/>
      </c>
      <c r="D4" s="3">
        <f>Bear!B27</f>
        <v/>
      </c>
    </row>
    <row r="5">
      <c r="A5" t="inlineStr">
        <is>
          <t>Base</t>
        </is>
      </c>
      <c r="B5" s="2" t="n">
        <v>0.45</v>
      </c>
      <c r="C5" s="3">
        <f>Base!B25</f>
        <v/>
      </c>
      <c r="D5" s="3">
        <f>Base!B27</f>
        <v/>
      </c>
    </row>
    <row r="6">
      <c r="A6" t="inlineStr">
        <is>
          <t>Bull</t>
        </is>
      </c>
      <c r="B6" s="2" t="n">
        <v>0.2</v>
      </c>
      <c r="C6" s="3">
        <f>Bull!B25</f>
        <v/>
      </c>
      <c r="D6" s="3">
        <f>Bull!B27</f>
        <v/>
      </c>
    </row>
    <row r="7">
      <c r="A7" s="1" t="inlineStr">
        <is>
          <t>PROB-WEIGHTED</t>
        </is>
      </c>
      <c r="C7" s="7">
        <f>SUMPRODUCT(B4:B6,C4:C6)/SUM(B4:B6)</f>
        <v/>
      </c>
      <c r="D7" s="7">
        <f>SUMPRODUCT(B4:B6,D4:D6)/SUM(B4:B6)</f>
        <v/>
      </c>
    </row>
    <row r="9">
      <c r="A9" t="inlineStr">
        <is>
          <t>Market price (HK$)</t>
        </is>
      </c>
      <c r="B9" s="3">
        <f>Assumptions!B8</f>
        <v/>
      </c>
    </row>
    <row r="10">
      <c r="A10" t="inlineStr">
        <is>
          <t>DCF value as % of market</t>
        </is>
      </c>
      <c r="B10" s="2">
        <f>D7/B9</f>
        <v/>
      </c>
    </row>
    <row r="11">
      <c r="A11" t="inlineStr">
        <is>
          <t>Market P/S (FY26E)</t>
        </is>
      </c>
      <c r="B11" s="10">
        <f>(Assumptions!B8*Assumptions!B5/Assumptions!B6)/Assumptions!B9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2026-06-26T05:52:56Z</dcterms:created>
  <dcterms:modified xmlns:dcterms="http://purl.org/dc/terms/" xmlns:xsi="http://www.w3.org/2001/XMLSchema-instance" xsi:type="dcterms:W3CDTF">2026-06-27T10:58:47Z</dcterms:modified>
</cp:coreProperties>
</file>