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934712301446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0911522af87246f2"/>
    <x:sheet xmlns:r="http://schemas.openxmlformats.org/officeDocument/2006/relationships" name="Bear" sheetId="2" r:id="R846cb796213d4f1b"/>
    <x:sheet xmlns:r="http://schemas.openxmlformats.org/officeDocument/2006/relationships" name="Base" sheetId="3" r:id="Re41f25e0c8b64d01"/>
    <x:sheet xmlns:r="http://schemas.openxmlformats.org/officeDocument/2006/relationships" name="Bull" sheetId="4" r:id="Re441402e73af473d"/>
    <x:sheet xmlns:r="http://schemas.openxmlformats.org/officeDocument/2006/relationships" name="Summary" sheetId="5" r:id="R2ff0769751fc4b31"/>
    <x:sheet xmlns:r="http://schemas.openxmlformats.org/officeDocument/2006/relationships" name="Audit Summary" sheetId="6" r:id="Ra2e1c53892de4656"/>
    <x:sheet xmlns:r="http://schemas.openxmlformats.org/officeDocument/2006/relationships" name="Valuation Comps" sheetId="7" r:id="R9b422fcb576a41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"/>
    <x:numFmt numFmtId="201" formatCode="0"/>
    <x:numFmt numFmtId="202" formatCode="0.0&quot;x&quot;"/>
  </x:numFmts>
  <x:fonts count="5">
    <x:font>
      <x:sz val="11"/>
      <x:color theme="1"/>
      <x:name val="Calibri"/>
    </x:font>
    <x:font>
      <x:b/>
    </x:font>
    <x:font>
      <x:sz val="11"/>
      <x:color rgb="FF222222"/>
      <x:name val="Calibri"/>
    </x:font>
    <x:font>
      <x:b/>
      <x:sz val="11"/>
      <x:color rgb="FFFFFFFF"/>
      <x:name val="Calibri"/>
    </x:font>
    <x:font>
      <x:b/>
      <x:sz val="11"/>
      <x:color rgb="FFC62828"/>
      <x:name val="Calibri"/>
    </x:font>
  </x:fonts>
  <x:fills count="13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/>
    <x:xf numFmtId="0" fontId="1" fillId="2" borderId="0" xfId="0"/>
    <x:xf numFmtId="0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center"/>
    </x:xf>
    <x:xf numFmtId="0" fontId="2" fillId="6" borderId="1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vertical="center"/>
    </x:xf>
    <x:xf numFmtId="200" fontId="4" fillId="4" borderId="1" xfId="0" applyNumberFormat="1" applyFont="1" applyFill="1" applyBorder="1" applyAlignment="1">
      <x:alignment vertical="center"/>
    </x:xf>
    <x:xf numFmtId="200" fontId="2" fillId="5" borderId="1" xfId="0" applyNumberFormat="1" applyFont="1" applyFill="1" applyBorder="1" applyAlignment="1">
      <x:alignment vertical="center"/>
    </x:xf>
    <x:xf numFmtId="200" fontId="2" fillId="6" borderId="1" xfId="0" applyNumberFormat="1" applyFont="1" applyFill="1" applyBorder="1" applyAlignment="1">
      <x:alignment vertical="center"/>
    </x:xf>
    <x:xf numFmtId="200" fontId="2" fillId="7" borderId="1" xfId="0" applyNumberFormat="1" applyFont="1" applyFill="1" applyBorder="1" applyAlignment="1">
      <x:alignment vertical="center"/>
    </x:xf>
    <x:xf numFmtId="201" fontId="4" fillId="4" borderId="1" xfId="0" applyNumberFormat="1" applyFont="1" applyFill="1" applyBorder="1" applyAlignment="1">
      <x:alignment vertical="center"/>
    </x:xf>
    <x:xf numFmtId="201" fontId="2" fillId="5" borderId="1" xfId="0" applyNumberFormat="1" applyFont="1" applyFill="1" applyBorder="1" applyAlignment="1">
      <x:alignment vertical="center"/>
    </x:xf>
    <x:xf numFmtId="201" fontId="2" fillId="6" borderId="1" xfId="0" applyNumberFormat="1" applyFont="1" applyFill="1" applyBorder="1" applyAlignment="1">
      <x:alignment vertical="center"/>
    </x:xf>
    <x:xf numFmtId="201" fontId="2" fillId="7" borderId="1" xfId="0" applyNumberFormat="1" applyFont="1" applyFill="1" applyBorder="1" applyAlignment="1">
      <x:alignment vertical="center"/>
    </x:xf>
    <x:xf numFmtId="202" fontId="4" fillId="4" borderId="1" xfId="0" applyNumberFormat="1" applyFont="1" applyFill="1" applyBorder="1" applyAlignment="1">
      <x:alignment vertical="center"/>
    </x:xf>
    <x:xf numFmtId="202" fontId="2" fillId="5" borderId="1" xfId="0" applyNumberFormat="1" applyFont="1" applyFill="1" applyBorder="1" applyAlignment="1">
      <x:alignment vertical="center"/>
    </x:xf>
    <x:xf numFmtId="202" fontId="2" fillId="6" borderId="1" xfId="0" applyNumberFormat="1" applyFont="1" applyFill="1" applyBorder="1" applyAlignment="1">
      <x:alignment vertical="center"/>
    </x:xf>
    <x:xf numFmtId="202" fontId="2" fillId="7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2" fillId="5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2" fillId="7" borderId="1" xfId="0" applyNumberFormat="1" applyFont="1" applyFill="1" applyBorder="1" applyAlignment="1">
      <x:alignment horizontal="center" vertical="center"/>
    </x:xf>
    <x:xf numFmtId="200" fontId="4" fillId="4" borderId="1" xfId="0" applyNumberFormat="1" applyFont="1" applyFill="1" applyBorder="1" applyAlignment="1">
      <x:alignment horizontal="right" vertical="center"/>
    </x:xf>
    <x:xf numFmtId="0" fontId="4" fillId="4" borderId="1" xfId="0" applyNumberFormat="1" applyFont="1" applyFill="1" applyBorder="1" applyAlignment="1">
      <x:alignment horizontal="right" vertical="center"/>
    </x:xf>
    <x:xf numFmtId="201" fontId="4" fillId="4" borderId="1" xfId="0" applyNumberFormat="1" applyFont="1" applyFill="1" applyBorder="1" applyAlignment="1">
      <x:alignment horizontal="right" vertical="center"/>
    </x:xf>
    <x:xf numFmtId="200" fontId="2" fillId="5" borderId="1" xfId="0" applyNumberFormat="1" applyFont="1" applyFill="1" applyBorder="1" applyAlignment="1">
      <x:alignment horizontal="right" vertical="center"/>
    </x:xf>
    <x:xf numFmtId="0" fontId="2" fillId="5" borderId="1" xfId="0" applyNumberFormat="1" applyFont="1" applyFill="1" applyBorder="1" applyAlignment="1">
      <x:alignment horizontal="right" vertical="center"/>
    </x:xf>
    <x:xf numFmtId="201" fontId="2" fillId="5" borderId="1" xfId="0" applyNumberFormat="1" applyFont="1" applyFill="1" applyBorder="1" applyAlignment="1">
      <x:alignment horizontal="right" vertical="center"/>
    </x:xf>
    <x:xf numFmtId="200" fontId="2" fillId="6" borderId="1" xfId="0" applyNumberFormat="1" applyFont="1" applyFill="1" applyBorder="1" applyAlignment="1">
      <x:alignment horizontal="right" vertical="center"/>
    </x:xf>
    <x:xf numFmtId="0" fontId="2" fillId="6" borderId="1" xfId="0" applyNumberFormat="1" applyFont="1" applyFill="1" applyBorder="1" applyAlignment="1">
      <x:alignment horizontal="right" vertical="center"/>
    </x:xf>
    <x:xf numFmtId="201" fontId="2" fillId="6" borderId="1" xfId="0" applyNumberFormat="1" applyFont="1" applyFill="1" applyBorder="1" applyAlignment="1">
      <x:alignment horizontal="right" vertical="center"/>
    </x:xf>
    <x:xf numFmtId="200" fontId="2" fillId="7" borderId="1" xfId="0" applyNumberFormat="1" applyFont="1" applyFill="1" applyBorder="1" applyAlignment="1">
      <x:alignment horizontal="right" vertical="center"/>
    </x:xf>
    <x:xf numFmtId="0" fontId="2" fillId="7" borderId="1" xfId="0" applyNumberFormat="1" applyFont="1" applyFill="1" applyBorder="1" applyAlignment="1">
      <x:alignment horizontal="right" vertical="center"/>
    </x:xf>
    <x:xf numFmtId="201" fontId="2" fillId="7" borderId="1" xfId="0" applyNumberFormat="1" applyFont="1" applyFill="1" applyBorder="1" applyAlignment="1">
      <x:alignment horizontal="right" vertical="center"/>
    </x:xf>
    <x:xf numFmtId="202" fontId="4" fillId="4" borderId="1" xfId="0" applyNumberFormat="1" applyFont="1" applyFill="1" applyBorder="1" applyAlignment="1">
      <x:alignment horizontal="right" vertical="center"/>
    </x:xf>
    <x:xf numFmtId="202" fontId="2" fillId="5" borderId="1" xfId="0" applyNumberFormat="1" applyFont="1" applyFill="1" applyBorder="1" applyAlignment="1">
      <x:alignment horizontal="right" vertical="center"/>
    </x:xf>
    <x:xf numFmtId="202" fontId="2" fillId="6" borderId="1" xfId="0" applyNumberFormat="1" applyFont="1" applyFill="1" applyBorder="1" applyAlignment="1">
      <x:alignment horizontal="right" vertical="center"/>
    </x:xf>
    <x:xf numFmtId="202" fontId="2" fillId="7" borderId="1" xfId="0" applyNumberFormat="1" applyFont="1" applyFill="1" applyBorder="1" applyAlignment="1">
      <x:alignment horizontal="right" vertical="center"/>
    </x:xf>
    <x:xf numFmtId="0" fontId="4" fillId="4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6" borderId="1" xfId="0" applyNumberFormat="1" applyFont="1" applyFill="1" applyBorder="1" applyAlignment="1">
      <x:alignment vertical="center" wrapText="1"/>
    </x:xf>
    <x:xf numFmtId="0" fontId="2" fillId="7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right" vertical="center" wrapText="1"/>
    </x:xf>
    <x:xf numFmtId="0" fontId="2" fillId="5" borderId="1" xfId="0" applyNumberFormat="1" applyFont="1" applyFill="1" applyBorder="1" applyAlignment="1">
      <x:alignment horizontal="right" vertical="center" wrapText="1"/>
    </x:xf>
    <x:xf numFmtId="0" fontId="2" fillId="6" borderId="1" xfId="0" applyNumberFormat="1" applyFont="1" applyFill="1" applyBorder="1" applyAlignment="1">
      <x:alignment horizontal="right" vertical="center" wrapText="1"/>
    </x:xf>
    <x:xf numFmtId="0" fontId="2" fillId="7" borderId="1" xfId="0" applyNumberFormat="1" applyFont="1" applyFill="1" applyBorder="1" applyAlignment="1">
      <x:alignment horizontal="right" vertical="center" wrapText="1"/>
    </x:xf>
    <x:xf numFmtId="0" fontId="2" fillId="8" borderId="1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horizontal="center" vertical="center" wrapText="1"/>
    </x:xf>
    <x:xf numFmtId="0" fontId="2" fillId="9" borderId="1" xfId="0" applyNumberFormat="1" applyFont="1" applyFill="1" applyBorder="1" applyAlignment="1">
      <x:alignment vertical="center"/>
    </x:xf>
    <x:xf numFmtId="0" fontId="4" fillId="9" borderId="1" xfId="0" applyNumberFormat="1" applyFont="1" applyFill="1" applyBorder="1" applyAlignment="1">
      <x:alignment vertical="center"/>
    </x:xf>
    <x:xf numFmtId="0" fontId="2" fillId="10" borderId="1" xfId="0" applyNumberFormat="1" applyFont="1" applyFill="1" applyBorder="1" applyAlignment="1">
      <x:alignment vertical="center"/>
    </x:xf>
    <x:xf numFmtId="0" fontId="2" fillId="11" borderId="1" xfId="0" applyNumberFormat="1" applyFont="1" applyFill="1" applyBorder="1" applyAlignment="1">
      <x:alignment vertical="center"/>
    </x:xf>
    <x:xf numFmtId="0" fontId="2" fillId="12" borderId="1" xfId="0" applyNumberFormat="1" applyFont="1" applyFill="1" applyBorder="1" applyAlignment="1">
      <x:alignment vertical="center"/>
    </x:xf>
    <x:xf numFmtId="200" fontId="4" fillId="9" borderId="1" xfId="0" applyNumberFormat="1" applyFont="1" applyFill="1" applyBorder="1" applyAlignment="1">
      <x:alignment vertical="center"/>
    </x:xf>
    <x:xf numFmtId="200" fontId="2" fillId="10" borderId="1" xfId="0" applyNumberFormat="1" applyFont="1" applyFill="1" applyBorder="1" applyAlignment="1">
      <x:alignment vertical="center"/>
    </x:xf>
    <x:xf numFmtId="200" fontId="2" fillId="11" borderId="1" xfId="0" applyNumberFormat="1" applyFont="1" applyFill="1" applyBorder="1" applyAlignment="1">
      <x:alignment vertical="center"/>
    </x:xf>
    <x:xf numFmtId="200" fontId="2" fillId="12" borderId="1" xfId="0" applyNumberFormat="1" applyFont="1" applyFill="1" applyBorder="1" applyAlignment="1">
      <x:alignment vertical="center"/>
    </x:xf>
    <x:xf numFmtId="201" fontId="4" fillId="9" borderId="1" xfId="0" applyNumberFormat="1" applyFont="1" applyFill="1" applyBorder="1" applyAlignment="1">
      <x:alignment vertical="center"/>
    </x:xf>
    <x:xf numFmtId="201" fontId="2" fillId="10" borderId="1" xfId="0" applyNumberFormat="1" applyFont="1" applyFill="1" applyBorder="1" applyAlignment="1">
      <x:alignment vertical="center"/>
    </x:xf>
    <x:xf numFmtId="201" fontId="2" fillId="11" borderId="1" xfId="0" applyNumberFormat="1" applyFont="1" applyFill="1" applyBorder="1" applyAlignment="1">
      <x:alignment vertical="center"/>
    </x:xf>
    <x:xf numFmtId="201" fontId="2" fillId="12" borderId="1" xfId="0" applyNumberFormat="1" applyFont="1" applyFill="1" applyBorder="1" applyAlignment="1">
      <x:alignment vertical="center"/>
    </x:xf>
    <x:xf numFmtId="202" fontId="4" fillId="9" borderId="1" xfId="0" applyNumberFormat="1" applyFont="1" applyFill="1" applyBorder="1" applyAlignment="1">
      <x:alignment vertical="center"/>
    </x:xf>
    <x:xf numFmtId="202" fontId="2" fillId="10" borderId="1" xfId="0" applyNumberFormat="1" applyFont="1" applyFill="1" applyBorder="1" applyAlignment="1">
      <x:alignment vertical="center"/>
    </x:xf>
    <x:xf numFmtId="202" fontId="2" fillId="11" borderId="1" xfId="0" applyNumberFormat="1" applyFont="1" applyFill="1" applyBorder="1" applyAlignment="1">
      <x:alignment vertical="center"/>
    </x:xf>
    <x:xf numFmtId="202" fontId="2" fillId="12" borderId="1" xfId="0" applyNumberFormat="1" applyFont="1" applyFill="1" applyBorder="1" applyAlignment="1">
      <x:alignment vertical="center"/>
    </x:xf>
    <x:xf numFmtId="0" fontId="4" fillId="9" borderId="1" xfId="0" applyNumberFormat="1" applyFont="1" applyFill="1" applyBorder="1" applyAlignment="1">
      <x:alignment horizontal="center" vertical="center"/>
    </x:xf>
    <x:xf numFmtId="0" fontId="2" fillId="10" borderId="1" xfId="0" applyNumberFormat="1" applyFont="1" applyFill="1" applyBorder="1" applyAlignment="1">
      <x:alignment horizontal="center" vertical="center"/>
    </x:xf>
    <x:xf numFmtId="0" fontId="2" fillId="11" borderId="1" xfId="0" applyNumberFormat="1" applyFont="1" applyFill="1" applyBorder="1" applyAlignment="1">
      <x:alignment horizontal="center" vertical="center"/>
    </x:xf>
    <x:xf numFmtId="0" fontId="2" fillId="12" borderId="1" xfId="0" applyNumberFormat="1" applyFont="1" applyFill="1" applyBorder="1" applyAlignment="1">
      <x:alignment horizontal="center" vertical="center"/>
    </x:xf>
    <x:xf numFmtId="200" fontId="4" fillId="9" borderId="1" xfId="0" applyNumberFormat="1" applyFont="1" applyFill="1" applyBorder="1" applyAlignment="1">
      <x:alignment horizontal="right" vertical="center"/>
    </x:xf>
    <x:xf numFmtId="0" fontId="4" fillId="9" borderId="1" xfId="0" applyNumberFormat="1" applyFont="1" applyFill="1" applyBorder="1" applyAlignment="1">
      <x:alignment horizontal="right" vertical="center"/>
    </x:xf>
    <x:xf numFmtId="201" fontId="4" fillId="9" borderId="1" xfId="0" applyNumberFormat="1" applyFont="1" applyFill="1" applyBorder="1" applyAlignment="1">
      <x:alignment horizontal="right" vertical="center"/>
    </x:xf>
    <x:xf numFmtId="200" fontId="2" fillId="10" borderId="1" xfId="0" applyNumberFormat="1" applyFont="1" applyFill="1" applyBorder="1" applyAlignment="1">
      <x:alignment horizontal="right" vertical="center"/>
    </x:xf>
    <x:xf numFmtId="0" fontId="2" fillId="10" borderId="1" xfId="0" applyNumberFormat="1" applyFont="1" applyFill="1" applyBorder="1" applyAlignment="1">
      <x:alignment horizontal="right" vertical="center"/>
    </x:xf>
    <x:xf numFmtId="201" fontId="2" fillId="10" borderId="1" xfId="0" applyNumberFormat="1" applyFont="1" applyFill="1" applyBorder="1" applyAlignment="1">
      <x:alignment horizontal="right" vertical="center"/>
    </x:xf>
    <x:xf numFmtId="200" fontId="2" fillId="11" borderId="1" xfId="0" applyNumberFormat="1" applyFont="1" applyFill="1" applyBorder="1" applyAlignment="1">
      <x:alignment horizontal="right" vertical="center"/>
    </x:xf>
    <x:xf numFmtId="0" fontId="2" fillId="11" borderId="1" xfId="0" applyNumberFormat="1" applyFont="1" applyFill="1" applyBorder="1" applyAlignment="1">
      <x:alignment horizontal="right" vertical="center"/>
    </x:xf>
    <x:xf numFmtId="201" fontId="2" fillId="11" borderId="1" xfId="0" applyNumberFormat="1" applyFont="1" applyFill="1" applyBorder="1" applyAlignment="1">
      <x:alignment horizontal="right" vertical="center"/>
    </x:xf>
    <x:xf numFmtId="200" fontId="2" fillId="12" borderId="1" xfId="0" applyNumberFormat="1" applyFont="1" applyFill="1" applyBorder="1" applyAlignment="1">
      <x:alignment horizontal="right" vertical="center"/>
    </x:xf>
    <x:xf numFmtId="0" fontId="2" fillId="12" borderId="1" xfId="0" applyNumberFormat="1" applyFont="1" applyFill="1" applyBorder="1" applyAlignment="1">
      <x:alignment horizontal="right" vertical="center"/>
    </x:xf>
    <x:xf numFmtId="201" fontId="2" fillId="12" borderId="1" xfId="0" applyNumberFormat="1" applyFont="1" applyFill="1" applyBorder="1" applyAlignment="1">
      <x:alignment horizontal="right" vertical="center"/>
    </x:xf>
    <x:xf numFmtId="202" fontId="4" fillId="9" borderId="1" xfId="0" applyNumberFormat="1" applyFont="1" applyFill="1" applyBorder="1" applyAlignment="1">
      <x:alignment horizontal="right" vertical="center"/>
    </x:xf>
    <x:xf numFmtId="202" fontId="2" fillId="10" borderId="1" xfId="0" applyNumberFormat="1" applyFont="1" applyFill="1" applyBorder="1" applyAlignment="1">
      <x:alignment horizontal="right" vertical="center"/>
    </x:xf>
    <x:xf numFmtId="202" fontId="2" fillId="11" borderId="1" xfId="0" applyNumberFormat="1" applyFont="1" applyFill="1" applyBorder="1" applyAlignment="1">
      <x:alignment horizontal="right" vertical="center"/>
    </x:xf>
    <x:xf numFmtId="202" fontId="2" fillId="12" borderId="1" xfId="0" applyNumberFormat="1" applyFont="1" applyFill="1" applyBorder="1" applyAlignment="1">
      <x:alignment horizontal="right" vertical="center"/>
    </x:xf>
    <x:xf numFmtId="0" fontId="4" fillId="9" borderId="1" xfId="0" applyNumberFormat="1" applyFont="1" applyFill="1" applyBorder="1" applyAlignment="1">
      <x:alignment vertical="center" wrapText="1"/>
    </x:xf>
    <x:xf numFmtId="0" fontId="2" fillId="10" borderId="1" xfId="0" applyNumberFormat="1" applyFont="1" applyFill="1" applyBorder="1" applyAlignment="1">
      <x:alignment vertical="center" wrapText="1"/>
    </x:xf>
    <x:xf numFmtId="0" fontId="2" fillId="11" borderId="1" xfId="0" applyNumberFormat="1" applyFont="1" applyFill="1" applyBorder="1" applyAlignment="1">
      <x:alignment vertical="center" wrapText="1"/>
    </x:xf>
    <x:xf numFmtId="0" fontId="2" fillId="12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right" vertical="center" wrapText="1"/>
    </x:xf>
    <x:xf numFmtId="0" fontId="2" fillId="10" borderId="1" xfId="0" applyNumberFormat="1" applyFont="1" applyFill="1" applyBorder="1" applyAlignment="1">
      <x:alignment horizontal="right" vertical="center" wrapText="1"/>
    </x:xf>
    <x:xf numFmtId="0" fontId="2" fillId="11" borderId="1" xfId="0" applyNumberFormat="1" applyFont="1" applyFill="1" applyBorder="1" applyAlignment="1">
      <x:alignment horizontal="right" vertical="center" wrapText="1"/>
    </x:xf>
    <x:xf numFmtId="0" fontId="2" fillId="12" borderId="1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d86fa739324241" /><Relationship Type="http://schemas.openxmlformats.org/officeDocument/2006/relationships/theme" Target="/xl/theme/theme1.xml" Id="R74cc315c3e94442b" /><Relationship Type="http://schemas.openxmlformats.org/officeDocument/2006/relationships/sharedStrings" Target="/xl/sharedStrings.xml" Id="R4e37bf9cb32f4aa0" /><Relationship Type="http://schemas.openxmlformats.org/officeDocument/2006/relationships/worksheet" Target="/xl/worksheets/sheet1.xml" Id="R0911522af87246f2" /><Relationship Type="http://schemas.openxmlformats.org/officeDocument/2006/relationships/worksheet" Target="/xl/worksheets/sheet2.xml" Id="R846cb796213d4f1b" /><Relationship Type="http://schemas.openxmlformats.org/officeDocument/2006/relationships/worksheet" Target="/xl/worksheets/sheet3.xml" Id="Re41f25e0c8b64d01" /><Relationship Type="http://schemas.openxmlformats.org/officeDocument/2006/relationships/worksheet" Target="/xl/worksheets/sheet4.xml" Id="Re441402e73af473d" /><Relationship Type="http://schemas.openxmlformats.org/officeDocument/2006/relationships/worksheet" Target="/xl/worksheets/sheet5.xml" Id="R2ff0769751fc4b31" /><Relationship Type="http://schemas.openxmlformats.org/officeDocument/2006/relationships/worksheet" Target="/xl/worksheets/sheet6.xml" Id="Ra2e1c53892de4656" /><Relationship Type="http://schemas.openxmlformats.org/officeDocument/2006/relationships/worksheet" Target="/xl/worksheets/sheet7.xml" Id="R9b422fcb576a418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16" hidden="0" customWidth="1"/>
    <x:col min="3" max="3" width="72" hidden="0" customWidth="1"/>
  </x:cols>
  <x:sheetData>
    <x:row r="1">
      <x:c r="A1" s="1" t="inlineStr">
        <x:is>
          <x:t xml:space="preserve">GLOBAL ASSUMPTIONS</x:t>
        </x:is>
      </x:c>
    </x:row>
    <x:row r="2">
      <x:c r="A2" t="inlineStr">
        <x:is>
          <x:t xml:space="preserve">WACC</x:t>
        </x:is>
      </x:c>
      <x:c r="B2" t="n">
        <x:v>0.135</x:v>
      </x:c>
    </x:row>
    <x:row r="3">
      <x:c r="A3" t="inlineStr">
        <x:is>
          <x:t xml:space="preserve">Terminal growth g</x:t>
        </x:is>
      </x:c>
      <x:c r="B3" t="n">
        <x:v>0.04</x:v>
      </x:c>
    </x:row>
    <x:row r="4">
      <x:c r="A4" t="inlineStr">
        <x:is>
          <x:t xml:space="preserve">Tax rate</x:t>
        </x:is>
      </x:c>
      <x:c r="B4" t="n">
        <x:v>0.15</x:v>
      </x:c>
    </x:row>
    <x:row r="5">
      <x:c r="A5" t="inlineStr">
        <x:is>
          <x:t xml:space="preserve">Shares outstanding (m)</x:t>
        </x:is>
      </x:c>
      <x:c r="B5" t="n">
        <x:v>445.843</x:v>
      </x:c>
    </x:row>
    <x:row r="6">
      <x:c r="A6" t="inlineStr">
        <x:is>
          <x:t xml:space="preserve">USD/HKD</x:t>
        </x:is>
      </x:c>
      <x:c r="B6" t="n">
        <x:v>7.8</x:v>
      </x:c>
    </x:row>
    <x:row r="7">
      <x:c r="A7" t="inlineStr">
        <x:is>
          <x:t xml:space="preserve">Net cash (US$m)</x:t>
        </x:is>
      </x:c>
      <x:c r="B7" t="n">
        <x:v>550</x:v>
      </x:c>
      <x:c r="C7" t="inlineStr">
        <x:is>
          <x:t xml:space="preserve">net IPO proceeds plus pre-IPO cash; preferred shares convert at IPO</x:t>
        </x:is>
      </x:c>
    </x:row>
    <x:row r="8">
      <x:c r="A8" t="inlineStr">
        <x:is>
          <x:t xml:space="preserve">Market date</x:t>
        </x:is>
      </x:c>
      <x:c r="B8" t="str">
        <x:v>2026-08-28</x:v>
      </x:c>
      <x:c r="C8" t="inlineStr">
        <x:is>
          <x:t xml:space="preserve">derived from data/Zhipu_KnowledgeAtlas_daily.csv</x:t>
        </x:is>
      </x:c>
    </x:row>
    <x:row r="9">
      <x:c r="A9" t="inlineStr">
        <x:is>
          <x:t xml:space="preserve">Market price (HK$)</x:t>
        </x:is>
      </x:c>
      <x:c r="B9" t="n">
        <x:v>1090</x:v>
      </x:c>
    </x:row>
    <x:row r="10">
      <x:c r="A10" t="inlineStr">
        <x:is>
          <x:t xml:space="preserve">2025 revenue (US$m)</x:t>
        </x:is>
      </x:c>
      <x:c r="B10" t="n">
        <x:v>102</x:v>
      </x:c>
    </x:row>
    <x:row r="11">
      <x:c r="A11" t="inlineStr">
        <x:is>
          <x:t xml:space="preserve">2026E revenue (US$m)</x:t>
        </x:is>
      </x:c>
      <x:c r="B11" t="n">
        <x:v>200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16" customWidth="1"/>
  </x:cols>
  <x:sheetData>
    <x:row r="1">
      <x:c r="A1" t="inlineStr">
        <x:is>
          <x:t xml:space="preserve">DCF - Bear scenario</x:t>
        </x:is>
      </x:c>
    </x:row>
    <x:row r="2">
      <x:c r="A2" t="inlineStr">
        <x:is>
          <x:t xml:space="preserve">growth start (2027)</x:t>
        </x:is>
      </x:c>
      <x:c r="B2" t="n">
        <x:v>0.4</x:v>
      </x:c>
    </x:row>
    <x:row r="3">
      <x:c r="A3" t="inlineStr">
        <x:is>
          <x:t xml:space="preserve">growth end (2035)</x:t>
        </x:is>
      </x:c>
      <x:c r="B3" t="n">
        <x:v>0.06</x:v>
      </x:c>
    </x:row>
    <x:row r="4">
      <x:c r="A4" t="inlineStr">
        <x:is>
          <x:t xml:space="preserve">start op margin</x:t>
        </x:is>
      </x:c>
      <x:c r="B4" t="n">
        <x:v>-0.3</x:v>
      </x:c>
    </x:row>
    <x:row r="5">
      <x:c r="A5" t="inlineStr">
        <x:is>
          <x:t xml:space="preserve">terminal op margin</x:t>
        </x:is>
      </x:c>
      <x:c r="B5" t="n">
        <x:v>0.18</x:v>
      </x:c>
    </x:row>
    <x:row r="6">
      <x:c r="A6" t="inlineStr">
        <x:is>
          <x:t xml:space="preserve">sales-to-capital</x:t>
        </x:is>
      </x:c>
      <x:c r="B6" t="n">
        <x:v>2</x:v>
      </x:c>
    </x:row>
    <x:row r="8">
      <x:c r="A8" s="2" t="inlineStr">
        <x:is>
          <x:t xml:space="preserve">Year</x:t>
        </x:is>
      </x:c>
      <x:c r="B8" s="2" t="inlineStr">
        <x:is>
          <x:t xml:space="preserve">i</x:t>
        </x:is>
      </x:c>
      <x:c r="C8" s="2" t="inlineStr">
        <x:is>
          <x:t xml:space="preserve">growth</x:t>
        </x:is>
      </x:c>
      <x:c r="D8" s="2" t="inlineStr">
        <x:is>
          <x:t xml:space="preserve">revenue</x:t>
        </x:is>
      </x:c>
      <x:c r="E8" s="2" t="inlineStr">
        <x:is>
          <x:t xml:space="preserve">op margin</x:t>
        </x:is>
      </x:c>
      <x:c r="F8" s="2" t="inlineStr">
        <x:is>
          <x:t xml:space="preserve">EBIT</x:t>
        </x:is>
      </x:c>
      <x:c r="G8" s="2" t="inlineStr">
        <x:is>
          <x:t xml:space="preserve">cash tax</x:t>
        </x:is>
      </x:c>
      <x:c r="H8" s="2" t="inlineStr">
        <x:is>
          <x:t xml:space="preserve">NOL end</x:t>
        </x:is>
      </x:c>
      <x:c r="I8" s="2" t="inlineStr">
        <x:is>
          <x:t xml:space="preserve">NOPAT</x:t>
        </x:is>
      </x:c>
      <x:c r="J8" s="2" t="inlineStr">
        <x:is>
          <x:t xml:space="preserve">dRev</x:t>
        </x:is>
      </x:c>
      <x:c r="K8" s="2" t="inlineStr">
        <x:is>
          <x:t xml:space="preserve">reinvest</x:t>
        </x:is>
      </x:c>
      <x:c r="L8" s="2" t="inlineStr">
        <x:is>
          <x:t xml:space="preserve">FCFF</x:t>
        </x:is>
      </x:c>
      <x:c r="M8" s="2" t="inlineStr">
        <x:is>
          <x:t xml:space="preserve">disc</x:t>
        </x:is>
      </x:c>
      <x:c r="N8" s="2" t="inlineStr">
        <x:is>
          <x:t xml:space="preserve">PV</x:t>
        </x:is>
      </x:c>
    </x:row>
    <x:row r="9">
      <x:c r="A9" t="n">
        <x:v>2026</x:v>
      </x:c>
      <x:c r="B9" t="n">
        <x:v>0</x:v>
      </x:c>
      <x:c r="C9" t="n">
        <x:f>Assumptions!$B$11/Assumptions!$B$10-1</x:f>
        <x:v>0.9607843137254901</x:v>
      </x:c>
      <x:c r="D9" t="n">
        <x:f>Assumptions!$B$11</x:f>
        <x:v>200</x:v>
      </x:c>
      <x:c r="E9" t="n">
        <x:f>$B$4+($B$5-$B$4)*B9/9</x:f>
        <x:v>-0.3</x:v>
      </x:c>
      <x:c r="F9" t="n">
        <x:f>D9*E9</x:f>
        <x:v>-60</x:v>
      </x:c>
      <x:c r="G9" t="n">
        <x:f>IF(F9&lt;0,0,MAX(F9-0,0)*Assumptions!$B$4)</x:f>
        <x:v>0</x:v>
      </x:c>
      <x:c r="H9" t="n">
        <x:f>IF(F9&lt;0,0-F9,MAX(0-F9,0))</x:f>
        <x:v>60</x:v>
      </x:c>
      <x:c r="I9" t="n">
        <x:f>F9-G9</x:f>
        <x:v>-60</x:v>
      </x:c>
      <x:c r="J9" t="n">
        <x:f>D9-Assumptions!$B$10</x:f>
        <x:v>98</x:v>
      </x:c>
      <x:c r="K9" t="n">
        <x:f>MAX(J9,0)/$B$6</x:f>
        <x:v>49</x:v>
      </x:c>
      <x:c r="L9" t="n">
        <x:f>I9-K9</x:f>
        <x:v>-109</x:v>
      </x:c>
      <x:c r="M9" t="n">
        <x:f>1/(1+Assumptions!$B$2)^(B9+1)</x:f>
        <x:v>0.8810572687224669</x:v>
      </x:c>
      <x:c r="N9" t="n">
        <x:f>L9*M9</x:f>
        <x:v>-96.0352422907489</x:v>
      </x:c>
    </x:row>
    <x:row r="10">
      <x:c r="A10" t="n">
        <x:v>2027</x:v>
      </x:c>
      <x:c r="B10" t="n">
        <x:v>1</x:v>
      </x:c>
      <x:c r="C10" t="n">
        <x:f>$B$2+($B$3-$B$2)*(B10-1)/8</x:f>
        <x:v>0.4</x:v>
      </x:c>
      <x:c r="D10" t="n">
        <x:f>D9*(1+C10)</x:f>
        <x:v>280</x:v>
      </x:c>
      <x:c r="E10" t="n">
        <x:f>$B$4+($B$5-$B$4)*B10/9</x:f>
        <x:v>-0.24666666666666665</x:v>
      </x:c>
      <x:c r="F10" t="n">
        <x:f>D10*E10</x:f>
        <x:v>-69.06666666666666</x:v>
      </x:c>
      <x:c r="G10" t="n">
        <x:f>IF(F10&lt;0,0,MAX(F10-H9,0)*Assumptions!$B$4)</x:f>
        <x:v>0</x:v>
      </x:c>
      <x:c r="H10" t="n">
        <x:f>IF(F10&lt;0,H9-F10,MAX(H9-F10,0))</x:f>
        <x:v>129.06666666666666</x:v>
      </x:c>
      <x:c r="I10" t="n">
        <x:f>F10-G10</x:f>
        <x:v>-69.06666666666666</x:v>
      </x:c>
      <x:c r="J10" t="n">
        <x:f>D10-D9</x:f>
        <x:v>80</x:v>
      </x:c>
      <x:c r="K10" t="n">
        <x:f>MAX(J10,0)/$B$6</x:f>
        <x:v>40</x:v>
      </x:c>
      <x:c r="L10" t="n">
        <x:f>I10-K10</x:f>
        <x:v>-109.06666666666666</x:v>
      </x:c>
      <x:c r="M10" t="n">
        <x:f>1/(1+Assumptions!$B$2)^(B10+1)</x:f>
        <x:v>0.7762619107686933</x:v>
      </x:c>
      <x:c r="N10" t="n">
        <x:f>L10*M10</x:f>
        <x:v>-84.66429906783881</x:v>
      </x:c>
    </x:row>
    <x:row r="11">
      <x:c r="A11" t="n">
        <x:v>2028</x:v>
      </x:c>
      <x:c r="B11" t="n">
        <x:v>2</x:v>
      </x:c>
      <x:c r="C11" t="n">
        <x:f>$B$2+($B$3-$B$2)*(B11-1)/8</x:f>
        <x:v>0.35750000000000004</x:v>
      </x:c>
      <x:c r="D11" t="n">
        <x:f>D10*(1+C11)</x:f>
        <x:v>380.09999999999997</x:v>
      </x:c>
      <x:c r="E11" t="n">
        <x:f>$B$4+($B$5-$B$4)*B11/9</x:f>
        <x:v>-0.19333333333333333</x:v>
      </x:c>
      <x:c r="F11" t="n">
        <x:f>D11*E11</x:f>
        <x:v>-73.48599999999999</x:v>
      </x:c>
      <x:c r="G11" t="n">
        <x:f>IF(F11&lt;0,0,MAX(F11-H10,0)*Assumptions!$B$4)</x:f>
        <x:v>0</x:v>
      </x:c>
      <x:c r="H11" t="n">
        <x:f>IF(F11&lt;0,H10-F11,MAX(H10-F11,0))</x:f>
        <x:v>202.55266666666665</x:v>
      </x:c>
      <x:c r="I11" t="n">
        <x:f>F11-G11</x:f>
        <x:v>-73.48599999999999</x:v>
      </x:c>
      <x:c r="J11" t="n">
        <x:f>D11-D10</x:f>
        <x:v>100.09999999999997</x:v>
      </x:c>
      <x:c r="K11" t="n">
        <x:f>MAX(J11,0)/$B$6</x:f>
        <x:v>50.04999999999998</x:v>
      </x:c>
      <x:c r="L11" t="n">
        <x:f>I11-K11</x:f>
        <x:v>-123.53599999999997</x:v>
      </x:c>
      <x:c r="M11" t="n">
        <x:f>1/(1+Assumptions!$B$2)^(B11+1)</x:f>
        <x:v>0.6839311989151483</x:v>
      </x:c>
      <x:c r="N11" t="n">
        <x:f>L11*M11</x:f>
        <x:v>-84.49012458918175</x:v>
      </x:c>
    </x:row>
    <x:row r="12">
      <x:c r="A12" t="n">
        <x:v>2029</x:v>
      </x:c>
      <x:c r="B12" t="n">
        <x:v>3</x:v>
      </x:c>
      <x:c r="C12" t="n">
        <x:f>$B$2+($B$3-$B$2)*(B12-1)/8</x:f>
        <x:v>0.315</x:v>
      </x:c>
      <x:c r="D12" t="n">
        <x:f>D11*(1+C12)</x:f>
        <x:v>499.83149999999995</x:v>
      </x:c>
      <x:c r="E12" t="n">
        <x:f>$B$4+($B$5-$B$4)*B12/9</x:f>
        <x:v>-0.13999999999999999</x:v>
      </x:c>
      <x:c r="F12" t="n">
        <x:f>D12*E12</x:f>
        <x:v>-69.97640999999999</x:v>
      </x:c>
      <x:c r="G12" t="n">
        <x:f>IF(F12&lt;0,0,MAX(F12-H11,0)*Assumptions!$B$4)</x:f>
        <x:v>0</x:v>
      </x:c>
      <x:c r="H12" t="n">
        <x:f>IF(F12&lt;0,H11-F12,MAX(H11-F12,0))</x:f>
        <x:v>272.52907666666664</x:v>
      </x:c>
      <x:c r="I12" t="n">
        <x:f>F12-G12</x:f>
        <x:v>-69.97640999999999</x:v>
      </x:c>
      <x:c r="J12" t="n">
        <x:f>D12-D11</x:f>
        <x:v>119.73149999999998</x:v>
      </x:c>
      <x:c r="K12" t="n">
        <x:f>MAX(J12,0)/$B$6</x:f>
        <x:v>59.86574999999999</x:v>
      </x:c>
      <x:c r="L12" t="n">
        <x:f>I12-K12</x:f>
        <x:v>-129.84215999999998</x:v>
      </x:c>
      <x:c r="M12" t="n">
        <x:f>1/(1+Assumptions!$B$2)^(B12+1)</x:f>
        <x:v>0.6025825541102628</x:v>
      </x:c>
      <x:c r="N12" t="n">
        <x:f>L12*M12</x:f>
        <x:v>-78.24062040399339</x:v>
      </x:c>
    </x:row>
    <x:row r="13">
      <x:c r="A13" t="n">
        <x:v>2030</x:v>
      </x:c>
      <x:c r="B13" t="n">
        <x:v>4</x:v>
      </x:c>
      <x:c r="C13" t="n">
        <x:f>$B$2+($B$3-$B$2)*(B13-1)/8</x:f>
        <x:v>0.2725</x:v>
      </x:c>
      <x:c r="D13" t="n">
        <x:f>D12*(1+C13)</x:f>
        <x:v>636.0355837499999</x:v>
      </x:c>
      <x:c r="E13" t="n">
        <x:f>$B$4+($B$5-$B$4)*B13/9</x:f>
        <x:v>-0.08666666666666667</x:v>
      </x:c>
      <x:c r="F13" t="n">
        <x:f>D13*E13</x:f>
        <x:v>-55.12308392499999</x:v>
      </x:c>
      <x:c r="G13" t="n">
        <x:f>IF(F13&lt;0,0,MAX(F13-H12,0)*Assumptions!$B$4)</x:f>
        <x:v>0</x:v>
      </x:c>
      <x:c r="H13" t="n">
        <x:f>IF(F13&lt;0,H12-F13,MAX(H12-F13,0))</x:f>
        <x:v>327.65216059166664</x:v>
      </x:c>
      <x:c r="I13" t="n">
        <x:f>F13-G13</x:f>
        <x:v>-55.12308392499999</x:v>
      </x:c>
      <x:c r="J13" t="n">
        <x:f>D13-D12</x:f>
        <x:v>136.20408374999994</x:v>
      </x:c>
      <x:c r="K13" t="n">
        <x:f>MAX(J13,0)/$B$6</x:f>
        <x:v>68.10204187499997</x:v>
      </x:c>
      <x:c r="L13" t="n">
        <x:f>I13-K13</x:f>
        <x:v>-123.22512579999996</x:v>
      </x:c>
      <x:c r="M13" t="n">
        <x:f>1/(1+Assumptions!$B$2)^(B13+1)</x:f>
        <x:v>0.5309097393041963</x:v>
      </x:c>
      <x:c r="N13" t="n">
        <x:f>L13*M13</x:f>
        <x:v>-65.42141941420476</x:v>
      </x:c>
    </x:row>
    <x:row r="14">
      <x:c r="A14" t="n">
        <x:v>2031</x:v>
      </x:c>
      <x:c r="B14" t="n">
        <x:v>5</x:v>
      </x:c>
      <x:c r="C14" t="n">
        <x:f>$B$2+($B$3-$B$2)*(B14-1)/8</x:f>
        <x:v>0.23</x:v>
      </x:c>
      <x:c r="D14" t="n">
        <x:f>D13*(1+C14)</x:f>
        <x:v>782.3237680124998</x:v>
      </x:c>
      <x:c r="E14" t="n">
        <x:f>$B$4+($B$5-$B$4)*B14/9</x:f>
        <x:v>-0.033333333333333326</x:v>
      </x:c>
      <x:c r="F14" t="n">
        <x:f>D14*E14</x:f>
        <x:v>-26.077458933749988</x:v>
      </x:c>
      <x:c r="G14" t="n">
        <x:f>IF(F14&lt;0,0,MAX(F14-H13,0)*Assumptions!$B$4)</x:f>
        <x:v>0</x:v>
      </x:c>
      <x:c r="H14" t="n">
        <x:f>IF(F14&lt;0,H13-F14,MAX(H13-F14,0))</x:f>
        <x:v>353.72961952541664</x:v>
      </x:c>
      <x:c r="I14" t="n">
        <x:f>F14-G14</x:f>
        <x:v>-26.077458933749988</x:v>
      </x:c>
      <x:c r="J14" t="n">
        <x:f>D14-D13</x:f>
        <x:v>146.28818426249995</x:v>
      </x:c>
      <x:c r="K14" t="n">
        <x:f>MAX(J14,0)/$B$6</x:f>
        <x:v>73.14409213124998</x:v>
      </x:c>
      <x:c r="L14" t="n">
        <x:f>I14-K14</x:f>
        <x:v>-99.22155106499997</x:v>
      </x:c>
      <x:c r="M14" t="n">
        <x:f>1/(1+Assumptions!$B$2)^(B14+1)</x:f>
        <x:v>0.4677618848495122</x:v>
      </x:c>
      <x:c r="N14" t="n">
        <x:f>L14*M14</x:f>
        <x:v>-46.41205974385651</x:v>
      </x:c>
    </x:row>
    <x:row r="15">
      <x:c r="A15" t="n">
        <x:v>2032</x:v>
      </x:c>
      <x:c r="B15" t="n">
        <x:v>6</x:v>
      </x:c>
      <x:c r="C15" t="n">
        <x:f>$B$2+($B$3-$B$2)*(B15-1)/8</x:f>
        <x:v>0.1875</x:v>
      </x:c>
      <x:c r="D15" t="n">
        <x:f>D14*(1+C15)</x:f>
        <x:v>929.0094745148435</x:v>
      </x:c>
      <x:c r="E15" t="n">
        <x:f>$B$4+($B$5-$B$4)*B15/9</x:f>
        <x:v>0.020000000000000018</x:v>
      </x:c>
      <x:c r="F15" t="n">
        <x:f>D15*E15</x:f>
        <x:v>18.58018949029689</x:v>
      </x:c>
      <x:c r="G15" t="n">
        <x:f>IF(F15&lt;0,0,MAX(F15-H14,0)*Assumptions!$B$4)</x:f>
        <x:v>0</x:v>
      </x:c>
      <x:c r="H15" t="n">
        <x:f>IF(F15&lt;0,H14-F15,MAX(H14-F15,0))</x:f>
        <x:v>335.14943003511974</x:v>
      </x:c>
      <x:c r="I15" t="n">
        <x:f>F15-G15</x:f>
        <x:v>18.58018949029689</x:v>
      </x:c>
      <x:c r="J15" t="n">
        <x:f>D15-D14</x:f>
        <x:v>146.6857065023437</x:v>
      </x:c>
      <x:c r="K15" t="n">
        <x:f>MAX(J15,0)/$B$6</x:f>
        <x:v>73.34285325117185</x:v>
      </x:c>
      <x:c r="L15" t="n">
        <x:f>I15-K15</x:f>
        <x:v>-54.76266376087496</x:v>
      </x:c>
      <x:c r="M15" t="n">
        <x:f>1/(1+Assumptions!$B$2)^(B15+1)</x:f>
        <x:v>0.41212500867798435</x:v>
      </x:c>
      <x:c r="N15" t="n">
        <x:f>L15*M15</x:f>
        <x:v>-22.56906327768013</x:v>
      </x:c>
    </x:row>
    <x:row r="16">
      <x:c r="A16" t="n">
        <x:v>2033</x:v>
      </x:c>
      <x:c r="B16" t="n">
        <x:v>7</x:v>
      </x:c>
      <x:c r="C16" t="n">
        <x:f>$B$2+($B$3-$B$2)*(B16-1)/8</x:f>
        <x:v>0.14500000000000002</x:v>
      </x:c>
      <x:c r="D16" t="n">
        <x:f>D15*(1+C16)</x:f>
        <x:v>1063.7158483194958</x:v>
      </x:c>
      <x:c r="E16" t="n">
        <x:f>$B$4+($B$5-$B$4)*B16/9</x:f>
        <x:v>0.0733333333333333</x:v>
      </x:c>
      <x:c r="F16" t="n">
        <x:f>D16*E16</x:f>
        <x:v>78.00582887676299</x:v>
      </x:c>
      <x:c r="G16" t="n">
        <x:f>IF(F16&lt;0,0,MAX(F16-H15,0)*Assumptions!$B$4)</x:f>
        <x:v>0</x:v>
      </x:c>
      <x:c r="H16" t="n">
        <x:f>IF(F16&lt;0,H15-F16,MAX(H15-F16,0))</x:f>
        <x:v>257.1436011583568</x:v>
      </x:c>
      <x:c r="I16" t="n">
        <x:f>F16-G16</x:f>
        <x:v>78.00582887676299</x:v>
      </x:c>
      <x:c r="J16" t="n">
        <x:f>D16-D15</x:f>
        <x:v>134.70637380465223</x:v>
      </x:c>
      <x:c r="K16" t="n">
        <x:f>MAX(J16,0)/$B$6</x:f>
        <x:v>67.35318690232612</x:v>
      </x:c>
      <x:c r="L16" t="n">
        <x:f>I16-K16</x:f>
        <x:v>10.652641974436875</x:v>
      </x:c>
      <x:c r="M16" t="n">
        <x:f>1/(1+Assumptions!$B$2)^(B16+1)</x:f>
        <x:v>0.36310573451804784</x:v>
      </x:c>
      <x:c r="N16" t="n">
        <x:f>L16*M16</x:f>
        <x:v>3.868035388685689</x:v>
      </x:c>
    </x:row>
    <x:row r="17">
      <x:c r="A17" t="n">
        <x:v>2034</x:v>
      </x:c>
      <x:c r="B17" t="n">
        <x:v>8</x:v>
      </x:c>
      <x:c r="C17" t="n">
        <x:f>$B$2+($B$3-$B$2)*(B17-1)/8</x:f>
        <x:v>0.10249999999999998</x:v>
      </x:c>
      <x:c r="D17" t="n">
        <x:f>D16*(1+C17)</x:f>
        <x:v>1172.746722772244</x:v>
      </x:c>
      <x:c r="E17" t="n">
        <x:f>$B$4+($B$5-$B$4)*B17/9</x:f>
        <x:v>0.12666666666666665</x:v>
      </x:c>
      <x:c r="F17" t="n">
        <x:f>D17*E17</x:f>
        <x:v>148.54791821781757</x:v>
      </x:c>
      <x:c r="G17" t="n">
        <x:f>IF(F17&lt;0,0,MAX(F17-H16,0)*Assumptions!$B$4)</x:f>
        <x:v>0</x:v>
      </x:c>
      <x:c r="H17" t="n">
        <x:f>IF(F17&lt;0,H16-F17,MAX(H16-F17,0))</x:f>
        <x:v>108.5956829405392</x:v>
      </x:c>
      <x:c r="I17" t="n">
        <x:f>F17-G17</x:f>
        <x:v>148.54791821781757</x:v>
      </x:c>
      <x:c r="J17" t="n">
        <x:f>D17-D16</x:f>
        <x:v>109.03087445274832</x:v>
      </x:c>
      <x:c r="K17" t="n">
        <x:f>MAX(J17,0)/$B$6</x:f>
        <x:v>54.51543722637416</x:v>
      </x:c>
      <x:c r="L17" t="n">
        <x:f>I17-K17</x:f>
        <x:v>94.0324809914434</x:v>
      </x:c>
      <x:c r="M17" t="n">
        <x:f>1/(1+Assumptions!$B$2)^(B17+1)</x:f>
        <x:v>0.31991694671193643</x:v>
      </x:c>
      <x:c r="N17" t="n">
        <x:f>L17*M17</x:f>
        <x:v>30.082584210530776</x:v>
      </x:c>
    </x:row>
    <x:row r="18">
      <x:c r="A18" t="n">
        <x:v>2035</x:v>
      </x:c>
      <x:c r="B18" t="n">
        <x:v>9</x:v>
      </x:c>
      <x:c r="C18" t="n">
        <x:f>$B$2+($B$3-$B$2)*(B18-1)/8</x:f>
        <x:v>0.06</x:v>
      </x:c>
      <x:c r="D18" t="n">
        <x:f>D17*(1+C18)</x:f>
        <x:v>1243.1115261385787</x:v>
      </x:c>
      <x:c r="E18" t="n">
        <x:f>$B$4+($B$5-$B$4)*B18/9</x:f>
        <x:v>0.18000000000000005</x:v>
      </x:c>
      <x:c r="F18" t="n">
        <x:f>D18*E18</x:f>
        <x:v>223.76007470494423</x:v>
      </x:c>
      <x:c r="G18" t="n">
        <x:f>IF(F18&lt;0,0,MAX(F18-H17,0)*Assumptions!$B$4)</x:f>
        <x:v>17.274658764660753</x:v>
      </x:c>
      <x:c r="H18" t="n">
        <x:f>IF(F18&lt;0,H17-F18,MAX(H17-F18,0))</x:f>
        <x:v>0</x:v>
      </x:c>
      <x:c r="I18" t="n">
        <x:f>F18-G18</x:f>
        <x:v>206.48541594028347</x:v>
      </x:c>
      <x:c r="J18" t="n">
        <x:f>D18-D17</x:f>
        <x:v>70.36480336633463</x:v>
      </x:c>
      <x:c r="K18" t="n">
        <x:f>MAX(J18,0)/$B$6</x:f>
        <x:v>35.18240168316731</x:v>
      </x:c>
      <x:c r="L18" t="n">
        <x:f>I18-K18</x:f>
        <x:v>171.30301425711616</x:v>
      </x:c>
      <x:c r="M18" t="n">
        <x:f>1/(1+Assumptions!$B$2)^(B18+1)</x:f>
        <x:v>0.2818651512880497</x:v>
      </x:c>
      <x:c r="N18" t="n">
        <x:f>L18*M18</x:f>
        <x:v>48.28435002968098</x:v>
      </x:c>
    </x:row>
    <x:row r="20">
      <x:c r="A20" t="inlineStr">
        <x:is>
          <x:t xml:space="preserve">Sum PV (explicit)</x:t>
        </x:is>
      </x:c>
      <x:c r="B20" t="n">
        <x:f>SUM(N9:N18)</x:f>
        <x:v>-395.59785915860675</x:v>
      </x:c>
    </x:row>
    <x:row r="21">
      <x:c r="A21" t="inlineStr">
        <x:is>
          <x:t xml:space="preserve">Terminal value</x:t>
        </x:is>
      </x:c>
      <x:c r="B21" t="n">
        <x:f>L18*(1+Assumptions!$B$3)/(Assumptions!$B$2-Assumptions!$B$3)</x:f>
        <x:v>1875.3172087094822</x:v>
      </x:c>
    </x:row>
    <x:row r="22">
      <x:c r="A22" t="inlineStr">
        <x:is>
          <x:t xml:space="preserve">PV terminal</x:t>
        </x:is>
      </x:c>
      <x:c r="B22" t="n">
        <x:f>B21*M18</x:f>
        <x:v>528.5865687459813</x:v>
      </x:c>
    </x:row>
    <x:row r="23">
      <x:c r="A23" t="inlineStr">
        <x:is>
          <x:t xml:space="preserve">Enterprise value</x:t>
        </x:is>
      </x:c>
      <x:c r="B23" t="n">
        <x:f>B20+B22</x:f>
        <x:v>132.9887095873745</x:v>
      </x:c>
    </x:row>
    <x:row r="24">
      <x:c r="A24" t="inlineStr">
        <x:is>
          <x:t xml:space="preserve">Equity value (US$m)</x:t>
        </x:is>
      </x:c>
      <x:c r="B24" t="n">
        <x:f>B23+Assumptions!$B$7</x:f>
        <x:v>682.9887095873745</x:v>
      </x:c>
    </x:row>
    <x:row r="25">
      <x:c r="A25" t="inlineStr">
        <x:is>
          <x:t xml:space="preserve">Per share (US$)</x:t>
        </x:is>
      </x:c>
      <x:c r="B25" t="n">
        <x:f>B24/Assumptions!$B$5</x:f>
        <x:v>1.5319040774159838</x:v>
      </x:c>
    </x:row>
    <x:row r="26">
      <x:c r="A26" t="inlineStr">
        <x:is>
          <x:t xml:space="preserve">Per share (HK$)</x:t>
        </x:is>
      </x:c>
      <x:c r="B26" t="n">
        <x:f>B25*Assumptions!$B$6</x:f>
        <x:v>11.948851803844674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16" customWidth="1"/>
  </x:cols>
  <x:sheetData>
    <x:row r="1">
      <x:c r="A1" t="inlineStr">
        <x:is>
          <x:t xml:space="preserve">DCF - Base scenario</x:t>
        </x:is>
      </x:c>
    </x:row>
    <x:row r="2">
      <x:c r="A2" t="inlineStr">
        <x:is>
          <x:t xml:space="preserve">growth start (2027)</x:t>
        </x:is>
      </x:c>
      <x:c r="B2" t="n">
        <x:v>0.5600000000000001</x:v>
      </x:c>
    </x:row>
    <x:row r="3">
      <x:c r="A3" t="inlineStr">
        <x:is>
          <x:t xml:space="preserve">growth end (2035)</x:t>
        </x:is>
      </x:c>
      <x:c r="B3" t="n">
        <x:v>0.08</x:v>
      </x:c>
    </x:row>
    <x:row r="4">
      <x:c r="A4" t="inlineStr">
        <x:is>
          <x:t xml:space="preserve">start op margin</x:t>
        </x:is>
      </x:c>
      <x:c r="B4" t="n">
        <x:v>-0.3</x:v>
      </x:c>
    </x:row>
    <x:row r="5">
      <x:c r="A5" t="inlineStr">
        <x:is>
          <x:t xml:space="preserve">terminal op margin</x:t>
        </x:is>
      </x:c>
      <x:c r="B5" t="n">
        <x:v>0.28</x:v>
      </x:c>
    </x:row>
    <x:row r="6">
      <x:c r="A6" t="inlineStr">
        <x:is>
          <x:t xml:space="preserve">sales-to-capital</x:t>
        </x:is>
      </x:c>
      <x:c r="B6" t="n">
        <x:v>1.8</x:v>
      </x:c>
    </x:row>
    <x:row r="8">
      <x:c r="A8" s="2" t="inlineStr">
        <x:is>
          <x:t xml:space="preserve">Year</x:t>
        </x:is>
      </x:c>
      <x:c r="B8" s="2" t="inlineStr">
        <x:is>
          <x:t xml:space="preserve">i</x:t>
        </x:is>
      </x:c>
      <x:c r="C8" s="2" t="inlineStr">
        <x:is>
          <x:t xml:space="preserve">growth</x:t>
        </x:is>
      </x:c>
      <x:c r="D8" s="2" t="inlineStr">
        <x:is>
          <x:t xml:space="preserve">revenue</x:t>
        </x:is>
      </x:c>
      <x:c r="E8" s="2" t="inlineStr">
        <x:is>
          <x:t xml:space="preserve">op margin</x:t>
        </x:is>
      </x:c>
      <x:c r="F8" s="2" t="inlineStr">
        <x:is>
          <x:t xml:space="preserve">EBIT</x:t>
        </x:is>
      </x:c>
      <x:c r="G8" s="2" t="inlineStr">
        <x:is>
          <x:t xml:space="preserve">cash tax</x:t>
        </x:is>
      </x:c>
      <x:c r="H8" s="2" t="inlineStr">
        <x:is>
          <x:t xml:space="preserve">NOL end</x:t>
        </x:is>
      </x:c>
      <x:c r="I8" s="2" t="inlineStr">
        <x:is>
          <x:t xml:space="preserve">NOPAT</x:t>
        </x:is>
      </x:c>
      <x:c r="J8" s="2" t="inlineStr">
        <x:is>
          <x:t xml:space="preserve">dRev</x:t>
        </x:is>
      </x:c>
      <x:c r="K8" s="2" t="inlineStr">
        <x:is>
          <x:t xml:space="preserve">reinvest</x:t>
        </x:is>
      </x:c>
      <x:c r="L8" s="2" t="inlineStr">
        <x:is>
          <x:t xml:space="preserve">FCFF</x:t>
        </x:is>
      </x:c>
      <x:c r="M8" s="2" t="inlineStr">
        <x:is>
          <x:t xml:space="preserve">disc</x:t>
        </x:is>
      </x:c>
      <x:c r="N8" s="2" t="inlineStr">
        <x:is>
          <x:t xml:space="preserve">PV</x:t>
        </x:is>
      </x:c>
    </x:row>
    <x:row r="9">
      <x:c r="A9" t="n">
        <x:v>2026</x:v>
      </x:c>
      <x:c r="B9" t="n">
        <x:v>0</x:v>
      </x:c>
      <x:c r="C9" t="n">
        <x:f>Assumptions!$B$11/Assumptions!$B$10-1</x:f>
        <x:v>0.9607843137254901</x:v>
      </x:c>
      <x:c r="D9" t="n">
        <x:f>Assumptions!$B$11</x:f>
        <x:v>200</x:v>
      </x:c>
      <x:c r="E9" t="n">
        <x:f>$B$4+($B$5-$B$4)*B9/9</x:f>
        <x:v>-0.3</x:v>
      </x:c>
      <x:c r="F9" t="n">
        <x:f>D9*E9</x:f>
        <x:v>-60</x:v>
      </x:c>
      <x:c r="G9" t="n">
        <x:f>IF(F9&lt;0,0,MAX(F9-0,0)*Assumptions!$B$4)</x:f>
        <x:v>0</x:v>
      </x:c>
      <x:c r="H9" t="n">
        <x:f>IF(F9&lt;0,0-F9,MAX(0-F9,0))</x:f>
        <x:v>60</x:v>
      </x:c>
      <x:c r="I9" t="n">
        <x:f>F9-G9</x:f>
        <x:v>-60</x:v>
      </x:c>
      <x:c r="J9" t="n">
        <x:f>D9-Assumptions!$B$10</x:f>
        <x:v>98</x:v>
      </x:c>
      <x:c r="K9" t="n">
        <x:f>MAX(J9,0)/$B$6</x:f>
        <x:v>54.44444444444444</x:v>
      </x:c>
      <x:c r="L9" t="n">
        <x:f>I9-K9</x:f>
        <x:v>-114.44444444444444</x:v>
      </x:c>
      <x:c r="M9" t="n">
        <x:f>1/(1+Assumptions!$B$2)^(B9+1)</x:f>
        <x:v>0.8810572687224669</x:v>
      </x:c>
      <x:c r="N9" t="n">
        <x:f>L9*M9</x:f>
        <x:v>-100.83210964268233</x:v>
      </x:c>
    </x:row>
    <x:row r="10">
      <x:c r="A10" t="n">
        <x:v>2027</x:v>
      </x:c>
      <x:c r="B10" t="n">
        <x:v>1</x:v>
      </x:c>
      <x:c r="C10" t="n">
        <x:f>$B$2+($B$3-$B$2)*(B10-1)/8</x:f>
        <x:v>0.56</x:v>
      </x:c>
      <x:c r="D10" t="n">
        <x:f>D9*(1+C10)</x:f>
        <x:v>312</x:v>
      </x:c>
      <x:c r="E10" t="n">
        <x:f>$B$4+($B$5-$B$4)*B10/9</x:f>
        <x:v>-0.23555555555555552</x:v>
      </x:c>
      <x:c r="F10" t="n">
        <x:f>D10*E10</x:f>
        <x:v>-73.49333333333333</x:v>
      </x:c>
      <x:c r="G10" t="n">
        <x:f>IF(F10&lt;0,0,MAX(F10-H9,0)*Assumptions!$B$4)</x:f>
        <x:v>0</x:v>
      </x:c>
      <x:c r="H10" t="n">
        <x:f>IF(F10&lt;0,H9-F10,MAX(H9-F10,0))</x:f>
        <x:v>133.49333333333334</x:v>
      </x:c>
      <x:c r="I10" t="n">
        <x:f>F10-G10</x:f>
        <x:v>-73.49333333333333</x:v>
      </x:c>
      <x:c r="J10" t="n">
        <x:f>D10-D9</x:f>
        <x:v>112</x:v>
      </x:c>
      <x:c r="K10" t="n">
        <x:f>MAX(J10,0)/$B$6</x:f>
        <x:v>62.22222222222222</x:v>
      </x:c>
      <x:c r="L10" t="n">
        <x:f>I10-K10</x:f>
        <x:v>-135.71555555555554</x:v>
      </x:c>
      <x:c r="M10" t="n">
        <x:f>1/(1+Assumptions!$B$2)^(B10+1)</x:f>
        <x:v>0.7762619107686933</x:v>
      </x:c>
      <x:c r="N10" t="n">
        <x:f>L10*M10</x:f>
        <x:v>-105.3508164765903</x:v>
      </x:c>
    </x:row>
    <x:row r="11">
      <x:c r="A11" t="n">
        <x:v>2028</x:v>
      </x:c>
      <x:c r="B11" t="n">
        <x:v>2</x:v>
      </x:c>
      <x:c r="C11" t="n">
        <x:f>$B$2+($B$3-$B$2)*(B11-1)/8</x:f>
        <x:v>0.5</x:v>
      </x:c>
      <x:c r="D11" t="n">
        <x:f>D10*(1+C11)</x:f>
        <x:v>468</x:v>
      </x:c>
      <x:c r="E11" t="n">
        <x:f>$B$4+($B$5-$B$4)*B11/9</x:f>
        <x:v>-0.17111111111111107</x:v>
      </x:c>
      <x:c r="F11" t="n">
        <x:f>D11*E11</x:f>
        <x:v>-80.07999999999998</x:v>
      </x:c>
      <x:c r="G11" t="n">
        <x:f>IF(F11&lt;0,0,MAX(F11-H10,0)*Assumptions!$B$4)</x:f>
        <x:v>0</x:v>
      </x:c>
      <x:c r="H11" t="n">
        <x:f>IF(F11&lt;0,H10-F11,MAX(H10-F11,0))</x:f>
        <x:v>213.57333333333332</x:v>
      </x:c>
      <x:c r="I11" t="n">
        <x:f>F11-G11</x:f>
        <x:v>-80.07999999999998</x:v>
      </x:c>
      <x:c r="J11" t="n">
        <x:f>D11-D10</x:f>
        <x:v>156</x:v>
      </x:c>
      <x:c r="K11" t="n">
        <x:f>MAX(J11,0)/$B$6</x:f>
        <x:v>86.66666666666667</x:v>
      </x:c>
      <x:c r="L11" t="n">
        <x:f>I11-K11</x:f>
        <x:v>-166.74666666666667</x:v>
      </x:c>
      <x:c r="M11" t="n">
        <x:f>1/(1+Assumptions!$B$2)^(B11+1)</x:f>
        <x:v>0.6839311989151483</x:v>
      </x:c>
      <x:c r="N11" t="n">
        <x:f>L11*M11</x:f>
        <x:v>-114.04324764843793</x:v>
      </x:c>
    </x:row>
    <x:row r="12">
      <x:c r="A12" t="n">
        <x:v>2029</x:v>
      </x:c>
      <x:c r="B12" t="n">
        <x:v>3</x:v>
      </x:c>
      <x:c r="C12" t="n">
        <x:f>$B$2+($B$3-$B$2)*(B12-1)/8</x:f>
        <x:v>0.44000000000000006</x:v>
      </x:c>
      <x:c r="D12" t="n">
        <x:f>D11*(1+C12)</x:f>
        <x:v>673.92</x:v>
      </x:c>
      <x:c r="E12" t="n">
        <x:f>$B$4+($B$5-$B$4)*B12/9</x:f>
        <x:v>-0.10666666666666663</x:v>
      </x:c>
      <x:c r="F12" t="n">
        <x:f>D12*E12</x:f>
        <x:v>-71.88479999999997</x:v>
      </x:c>
      <x:c r="G12" t="n">
        <x:f>IF(F12&lt;0,0,MAX(F12-H11,0)*Assumptions!$B$4)</x:f>
        <x:v>0</x:v>
      </x:c>
      <x:c r="H12" t="n">
        <x:f>IF(F12&lt;0,H11-F12,MAX(H11-F12,0))</x:f>
        <x:v>285.4581333333333</x:v>
      </x:c>
      <x:c r="I12" t="n">
        <x:f>F12-G12</x:f>
        <x:v>-71.88479999999997</x:v>
      </x:c>
      <x:c r="J12" t="n">
        <x:f>D12-D11</x:f>
        <x:v>205.91999999999996</x:v>
      </x:c>
      <x:c r="K12" t="n">
        <x:f>MAX(J12,0)/$B$6</x:f>
        <x:v>114.39999999999998</x:v>
      </x:c>
      <x:c r="L12" t="n">
        <x:f>I12-K12</x:f>
        <x:v>-186.28479999999996</x:v>
      </x:c>
      <x:c r="M12" t="n">
        <x:f>1/(1+Assumptions!$B$2)^(B12+1)</x:f>
        <x:v>0.6025825541102628</x:v>
      </x:c>
      <x:c r="N12" t="n">
        <x:f>L12*M12</x:f>
        <x:v>-112.25197057591947</x:v>
      </x:c>
    </x:row>
    <x:row r="13">
      <x:c r="A13" t="n">
        <x:v>2030</x:v>
      </x:c>
      <x:c r="B13" t="n">
        <x:v>4</x:v>
      </x:c>
      <x:c r="C13" t="n">
        <x:f>$B$2+($B$3-$B$2)*(B13-1)/8</x:f>
        <x:v>0.38</x:v>
      </x:c>
      <x:c r="D13" t="n">
        <x:f>D12*(1+C13)</x:f>
        <x:v>930.0095999999999</x:v>
      </x:c>
      <x:c r="E13" t="n">
        <x:f>$B$4+($B$5-$B$4)*B13/9</x:f>
        <x:v>-0.04222222222222216</x:v>
      </x:c>
      <x:c r="F13" t="n">
        <x:f>D13*E13</x:f>
        <x:v>-39.267071999999935</x:v>
      </x:c>
      <x:c r="G13" t="n">
        <x:f>IF(F13&lt;0,0,MAX(F13-H12,0)*Assumptions!$B$4)</x:f>
        <x:v>0</x:v>
      </x:c>
      <x:c r="H13" t="n">
        <x:f>IF(F13&lt;0,H12-F13,MAX(H12-F13,0))</x:f>
        <x:v>324.72520533333324</x:v>
      </x:c>
      <x:c r="I13" t="n">
        <x:f>F13-G13</x:f>
        <x:v>-39.267071999999935</x:v>
      </x:c>
      <x:c r="J13" t="n">
        <x:f>D13-D12</x:f>
        <x:v>256.0895999999999</x:v>
      </x:c>
      <x:c r="K13" t="n">
        <x:f>MAX(J13,0)/$B$6</x:f>
        <x:v>142.27199999999993</x:v>
      </x:c>
      <x:c r="L13" t="n">
        <x:f>I13-K13</x:f>
        <x:v>-181.53907199999986</x:v>
      </x:c>
      <x:c r="M13" t="n">
        <x:f>1/(1+Assumptions!$B$2)^(B13+1)</x:f>
        <x:v>0.5309097393041963</x:v>
      </x:c>
      <x:c r="N13" t="n">
        <x:f>L13*M13</x:f>
        <x:v>-96.38086138904565</x:v>
      </x:c>
    </x:row>
    <x:row r="14">
      <x:c r="A14" t="n">
        <x:v>2031</x:v>
      </x:c>
      <x:c r="B14" t="n">
        <x:v>5</x:v>
      </x:c>
      <x:c r="C14" t="n">
        <x:f>$B$2+($B$3-$B$2)*(B14-1)/8</x:f>
        <x:v>0.32000000000000006</x:v>
      </x:c>
      <x:c r="D14" t="n">
        <x:f>D13*(1+C14)</x:f>
        <x:v>1227.612672</x:v>
      </x:c>
      <x:c r="E14" t="n">
        <x:f>$B$4+($B$5-$B$4)*B14/9</x:f>
        <x:v>0.022222222222222254</x:v>
      </x:c>
      <x:c r="F14" t="n">
        <x:f>D14*E14</x:f>
        <x:v>27.280281600000038</x:v>
      </x:c>
      <x:c r="G14" t="n">
        <x:f>IF(F14&lt;0,0,MAX(F14-H13,0)*Assumptions!$B$4)</x:f>
        <x:v>0</x:v>
      </x:c>
      <x:c r="H14" t="n">
        <x:f>IF(F14&lt;0,H13-F14,MAX(H13-F14,0))</x:f>
        <x:v>297.4449237333332</x:v>
      </x:c>
      <x:c r="I14" t="n">
        <x:f>F14-G14</x:f>
        <x:v>27.280281600000038</x:v>
      </x:c>
      <x:c r="J14" t="n">
        <x:f>D14-D13</x:f>
        <x:v>297.6030720000001</x:v>
      </x:c>
      <x:c r="K14" t="n">
        <x:f>MAX(J14,0)/$B$6</x:f>
        <x:v>165.33504000000005</x:v>
      </x:c>
      <x:c r="L14" t="n">
        <x:f>I14-K14</x:f>
        <x:v>-138.05475840000003</x:v>
      </x:c>
      <x:c r="M14" t="n">
        <x:f>1/(1+Assumptions!$B$2)^(B14+1)</x:f>
        <x:v>0.4677618848495122</x:v>
      </x:c>
      <x:c r="N14" t="n">
        <x:f>L14*M14</x:f>
        <x:v>-64.57675400162803</x:v>
      </x:c>
    </x:row>
    <x:row r="15">
      <x:c r="A15" t="n">
        <x:v>2032</x:v>
      </x:c>
      <x:c r="B15" t="n">
        <x:v>6</x:v>
      </x:c>
      <x:c r="C15" t="n">
        <x:f>$B$2+($B$3-$B$2)*(B15-1)/8</x:f>
        <x:v>0.26</x:v>
      </x:c>
      <x:c r="D15" t="n">
        <x:f>D14*(1+C15)</x:f>
        <x:v>1546.79196672</x:v>
      </x:c>
      <x:c r="E15" t="n">
        <x:f>$B$4+($B$5-$B$4)*B15/9</x:f>
        <x:v>0.08666666666666673</x:v>
      </x:c>
      <x:c r="F15" t="n">
        <x:f>D15*E15</x:f>
        <x:v>134.05530378240007</x:v>
      </x:c>
      <x:c r="G15" t="n">
        <x:f>IF(F15&lt;0,0,MAX(F15-H14,0)*Assumptions!$B$4)</x:f>
        <x:v>0</x:v>
      </x:c>
      <x:c r="H15" t="n">
        <x:f>IF(F15&lt;0,H14-F15,MAX(H14-F15,0))</x:f>
        <x:v>163.38961995093314</x:v>
      </x:c>
      <x:c r="I15" t="n">
        <x:f>F15-G15</x:f>
        <x:v>134.05530378240007</x:v>
      </x:c>
      <x:c r="J15" t="n">
        <x:f>D15-D14</x:f>
        <x:v>319.1792947199999</x:v>
      </x:c>
      <x:c r="K15" t="n">
        <x:f>MAX(J15,0)/$B$6</x:f>
        <x:v>177.32183039999995</x:v>
      </x:c>
      <x:c r="L15" t="n">
        <x:f>I15-K15</x:f>
        <x:v>-43.26652661759988</x:v>
      </x:c>
      <x:c r="M15" t="n">
        <x:f>1/(1+Assumptions!$B$2)^(B15+1)</x:f>
        <x:v>0.41212500867798435</x:v>
      </x:c>
      <x:c r="N15" t="n">
        <x:f>L15*M15</x:f>
        <x:v>-17.83121765774459</x:v>
      </x:c>
    </x:row>
    <x:row r="16">
      <x:c r="A16" t="n">
        <x:v>2033</x:v>
      </x:c>
      <x:c r="B16" t="n">
        <x:v>7</x:v>
      </x:c>
      <x:c r="C16" t="n">
        <x:f>$B$2+($B$3-$B$2)*(B16-1)/8</x:f>
        <x:v>0.2</x:v>
      </x:c>
      <x:c r="D16" t="n">
        <x:f>D15*(1+C16)</x:f>
        <x:v>1856.1503600639999</x:v>
      </x:c>
      <x:c r="E16" t="n">
        <x:f>$B$4+($B$5-$B$4)*B16/9</x:f>
        <x:v>0.1511111111111112</x:v>
      </x:c>
      <x:c r="F16" t="n">
        <x:f>D16*E16</x:f>
        <x:v>280.48494329856015</x:v>
      </x:c>
      <x:c r="G16" t="n">
        <x:f>IF(F16&lt;0,0,MAX(F16-H15,0)*Assumptions!$B$4)</x:f>
        <x:v>17.56429850214405</x:v>
      </x:c>
      <x:c r="H16" t="n">
        <x:f>IF(F16&lt;0,H15-F16,MAX(H15-F16,0))</x:f>
        <x:v>0</x:v>
      </x:c>
      <x:c r="I16" t="n">
        <x:f>F16-G16</x:f>
        <x:v>262.9206447964161</x:v>
      </x:c>
      <x:c r="J16" t="n">
        <x:f>D16-D15</x:f>
        <x:v>309.358393344</x:v>
      </x:c>
      <x:c r="K16" t="n">
        <x:f>MAX(J16,0)/$B$6</x:f>
        <x:v>171.86577408</x:v>
      </x:c>
      <x:c r="L16" t="n">
        <x:f>I16-K16</x:f>
        <x:v>91.05487071641613</x:v>
      </x:c>
      <x:c r="M16" t="n">
        <x:f>1/(1+Assumptions!$B$2)^(B16+1)</x:f>
        <x:v>0.36310573451804784</x:v>
      </x:c>
      <x:c r="N16" t="n">
        <x:f>L16*M16</x:f>
        <x:v>33.06254571293017</x:v>
      </x:c>
    </x:row>
    <x:row r="17">
      <x:c r="A17" t="n">
        <x:v>2034</x:v>
      </x:c>
      <x:c r="B17" t="n">
        <x:v>8</x:v>
      </x:c>
      <x:c r="C17" t="n">
        <x:f>$B$2+($B$3-$B$2)*(B17-1)/8</x:f>
        <x:v>0.14</x:v>
      </x:c>
      <x:c r="D17" t="n">
        <x:f>D16*(1+C17)</x:f>
        <x:v>2116.01141047296</x:v>
      </x:c>
      <x:c r="E17" t="n">
        <x:f>$B$4+($B$5-$B$4)*B17/9</x:f>
        <x:v>0.21555555555555567</x:v>
      </x:c>
      <x:c r="F17" t="n">
        <x:f>D17*E17</x:f>
        <x:v>456.1180151463939</x:v>
      </x:c>
      <x:c r="G17" t="n">
        <x:f>IF(F17&lt;0,0,MAX(F17-H16,0)*Assumptions!$B$4)</x:f>
        <x:v>68.41770227195907</x:v>
      </x:c>
      <x:c r="H17" t="n">
        <x:f>IF(F17&lt;0,H16-F17,MAX(H16-F17,0))</x:f>
        <x:v>0</x:v>
      </x:c>
      <x:c r="I17" t="n">
        <x:f>F17-G17</x:f>
        <x:v>387.7003128744348</x:v>
      </x:c>
      <x:c r="J17" t="n">
        <x:f>D17-D16</x:f>
        <x:v>259.8610504089602</x:v>
      </x:c>
      <x:c r="K17" t="n">
        <x:f>MAX(J17,0)/$B$6</x:f>
        <x:v>144.3672502272001</x:v>
      </x:c>
      <x:c r="L17" t="n">
        <x:f>I17-K17</x:f>
        <x:v>243.33306264723473</x:v>
      </x:c>
      <x:c r="M17" t="n">
        <x:f>1/(1+Assumptions!$B$2)^(B17+1)</x:f>
        <x:v>0.31991694671193643</x:v>
      </x:c>
      <x:c r="N17" t="n">
        <x:f>L17*M17</x:f>
        <x:v>77.84637043616769</x:v>
      </x:c>
    </x:row>
    <x:row r="18">
      <x:c r="A18" t="n">
        <x:v>2035</x:v>
      </x:c>
      <x:c r="B18" t="n">
        <x:v>9</x:v>
      </x:c>
      <x:c r="C18" t="n">
        <x:f>$B$2+($B$3-$B$2)*(B18-1)/8</x:f>
        <x:v>0.08000000000000002</x:v>
      </x:c>
      <x:c r="D18" t="n">
        <x:f>D17*(1+C18)</x:f>
        <x:v>2285.292323310797</x:v>
      </x:c>
      <x:c r="E18" t="n">
        <x:f>$B$4+($B$5-$B$4)*B18/9</x:f>
        <x:v>0.2800000000000001</x:v>
      </x:c>
      <x:c r="F18" t="n">
        <x:f>D18*E18</x:f>
        <x:v>639.8818505270234</x:v>
      </x:c>
      <x:c r="G18" t="n">
        <x:f>IF(F18&lt;0,0,MAX(F18-H17,0)*Assumptions!$B$4)</x:f>
        <x:v>95.9822775790535</x:v>
      </x:c>
      <x:c r="H18" t="n">
        <x:f>IF(F18&lt;0,H17-F18,MAX(H17-F18,0))</x:f>
        <x:v>0</x:v>
      </x:c>
      <x:c r="I18" t="n">
        <x:f>F18-G18</x:f>
        <x:v>543.8995729479699</x:v>
      </x:c>
      <x:c r="J18" t="n">
        <x:f>D18-D17</x:f>
        <x:v>169.28091283783715</x:v>
      </x:c>
      <x:c r="K18" t="n">
        <x:f>MAX(J18,0)/$B$6</x:f>
        <x:v>94.0449515765762</x:v>
      </x:c>
      <x:c r="L18" t="n">
        <x:f>I18-K18</x:f>
        <x:v>449.8546213713937</x:v>
      </x:c>
      <x:c r="M18" t="n">
        <x:f>1/(1+Assumptions!$B$2)^(B18+1)</x:f>
        <x:v>0.2818651512880497</x:v>
      </x:c>
      <x:c r="N18" t="n">
        <x:f>L18*M18</x:f>
        <x:v>126.79834091047618</x:v>
      </x:c>
    </x:row>
    <x:row r="20">
      <x:c r="A20" t="inlineStr">
        <x:is>
          <x:t xml:space="preserve">Sum PV (explicit)</x:t>
        </x:is>
      </x:c>
      <x:c r="B20" t="n">
        <x:f>SUM(N9:N18)</x:f>
        <x:v>-373.55972033247417</x:v>
      </x:c>
    </x:row>
    <x:row r="21">
      <x:c r="A21" t="inlineStr">
        <x:is>
          <x:t xml:space="preserve">Terminal value</x:t>
        </x:is>
      </x:c>
      <x:c r="B21" t="n">
        <x:f>L18*(1+Assumptions!$B$3)/(Assumptions!$B$2-Assumptions!$B$3)</x:f>
        <x:v>4924.724276065784</x:v>
      </x:c>
    </x:row>
    <x:row r="22">
      <x:c r="A22" t="inlineStr">
        <x:is>
          <x:t xml:space="preserve">PV terminal</x:t>
        </x:is>
      </x:c>
      <x:c r="B22" t="n">
        <x:f>B21*M18</x:f>
        <x:v>1388.108153125213</x:v>
      </x:c>
    </x:row>
    <x:row r="23">
      <x:c r="A23" t="inlineStr">
        <x:is>
          <x:t xml:space="preserve">Enterprise value</x:t>
        </x:is>
      </x:c>
      <x:c r="B23" t="n">
        <x:f>B20+B22</x:f>
        <x:v>1014.5484327927388</x:v>
      </x:c>
    </x:row>
    <x:row r="24">
      <x:c r="A24" t="inlineStr">
        <x:is>
          <x:t xml:space="preserve">Equity value (US$m)</x:t>
        </x:is>
      </x:c>
      <x:c r="B24" t="n">
        <x:f>B23+Assumptions!$B$7</x:f>
        <x:v>1564.5484327927388</x:v>
      </x:c>
    </x:row>
    <x:row r="25">
      <x:c r="A25" t="inlineStr">
        <x:is>
          <x:t xml:space="preserve">Per share (US$)</x:t>
        </x:is>
      </x:c>
      <x:c r="B25" t="n">
        <x:f>B24/Assumptions!$B$5</x:f>
        <x:v>3.5091914256649512</x:v>
      </x:c>
    </x:row>
    <x:row r="26">
      <x:c r="A26" t="inlineStr">
        <x:is>
          <x:t xml:space="preserve">Per share (HK$)</x:t>
        </x:is>
      </x:c>
      <x:c r="B26" t="n">
        <x:f>B25*Assumptions!$B$6</x:f>
        <x:v>27.37169312018662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16" customWidth="1"/>
  </x:cols>
  <x:sheetData>
    <x:row r="1">
      <x:c r="A1" t="inlineStr">
        <x:is>
          <x:t xml:space="preserve">DCF - Bull scenario</x:t>
        </x:is>
      </x:c>
    </x:row>
    <x:row r="2">
      <x:c r="A2" t="inlineStr">
        <x:is>
          <x:t xml:space="preserve">growth start (2027)</x:t>
        </x:is>
      </x:c>
      <x:c r="B2" t="n">
        <x:v>0.85</x:v>
      </x:c>
    </x:row>
    <x:row r="3">
      <x:c r="A3" t="inlineStr">
        <x:is>
          <x:t xml:space="preserve">growth end (2035)</x:t>
        </x:is>
      </x:c>
      <x:c r="B3" t="n">
        <x:v>0.12</x:v>
      </x:c>
    </x:row>
    <x:row r="4">
      <x:c r="A4" t="inlineStr">
        <x:is>
          <x:t xml:space="preserve">start op margin</x:t>
        </x:is>
      </x:c>
      <x:c r="B4" t="n">
        <x:v>-0.3</x:v>
      </x:c>
    </x:row>
    <x:row r="5">
      <x:c r="A5" t="inlineStr">
        <x:is>
          <x:t xml:space="preserve">terminal op margin</x:t>
        </x:is>
      </x:c>
      <x:c r="B5" t="n">
        <x:v>0.35</x:v>
      </x:c>
    </x:row>
    <x:row r="6">
      <x:c r="A6" t="inlineStr">
        <x:is>
          <x:t xml:space="preserve">sales-to-capital</x:t>
        </x:is>
      </x:c>
      <x:c r="B6" t="n">
        <x:v>1.6</x:v>
      </x:c>
    </x:row>
    <x:row r="8">
      <x:c r="A8" s="2" t="inlineStr">
        <x:is>
          <x:t xml:space="preserve">Year</x:t>
        </x:is>
      </x:c>
      <x:c r="B8" s="2" t="inlineStr">
        <x:is>
          <x:t xml:space="preserve">i</x:t>
        </x:is>
      </x:c>
      <x:c r="C8" s="2" t="inlineStr">
        <x:is>
          <x:t xml:space="preserve">growth</x:t>
        </x:is>
      </x:c>
      <x:c r="D8" s="2" t="inlineStr">
        <x:is>
          <x:t xml:space="preserve">revenue</x:t>
        </x:is>
      </x:c>
      <x:c r="E8" s="2" t="inlineStr">
        <x:is>
          <x:t xml:space="preserve">op margin</x:t>
        </x:is>
      </x:c>
      <x:c r="F8" s="2" t="inlineStr">
        <x:is>
          <x:t xml:space="preserve">EBIT</x:t>
        </x:is>
      </x:c>
      <x:c r="G8" s="2" t="inlineStr">
        <x:is>
          <x:t xml:space="preserve">cash tax</x:t>
        </x:is>
      </x:c>
      <x:c r="H8" s="2" t="inlineStr">
        <x:is>
          <x:t xml:space="preserve">NOL end</x:t>
        </x:is>
      </x:c>
      <x:c r="I8" s="2" t="inlineStr">
        <x:is>
          <x:t xml:space="preserve">NOPAT</x:t>
        </x:is>
      </x:c>
      <x:c r="J8" s="2" t="inlineStr">
        <x:is>
          <x:t xml:space="preserve">dRev</x:t>
        </x:is>
      </x:c>
      <x:c r="K8" s="2" t="inlineStr">
        <x:is>
          <x:t xml:space="preserve">reinvest</x:t>
        </x:is>
      </x:c>
      <x:c r="L8" s="2" t="inlineStr">
        <x:is>
          <x:t xml:space="preserve">FCFF</x:t>
        </x:is>
      </x:c>
      <x:c r="M8" s="2" t="inlineStr">
        <x:is>
          <x:t xml:space="preserve">disc</x:t>
        </x:is>
      </x:c>
      <x:c r="N8" s="2" t="inlineStr">
        <x:is>
          <x:t xml:space="preserve">PV</x:t>
        </x:is>
      </x:c>
    </x:row>
    <x:row r="9">
      <x:c r="A9" t="n">
        <x:v>2026</x:v>
      </x:c>
      <x:c r="B9" t="n">
        <x:v>0</x:v>
      </x:c>
      <x:c r="C9" t="n">
        <x:f>Assumptions!$B$11/Assumptions!$B$10-1</x:f>
        <x:v>0.9607843137254901</x:v>
      </x:c>
      <x:c r="D9" t="n">
        <x:f>Assumptions!$B$11</x:f>
        <x:v>200</x:v>
      </x:c>
      <x:c r="E9" t="n">
        <x:f>$B$4+($B$5-$B$4)*B9/9</x:f>
        <x:v>-0.3</x:v>
      </x:c>
      <x:c r="F9" t="n">
        <x:f>D9*E9</x:f>
        <x:v>-60</x:v>
      </x:c>
      <x:c r="G9" t="n">
        <x:f>IF(F9&lt;0,0,MAX(F9-0,0)*Assumptions!$B$4)</x:f>
        <x:v>0</x:v>
      </x:c>
      <x:c r="H9" t="n">
        <x:f>IF(F9&lt;0,0-F9,MAX(0-F9,0))</x:f>
        <x:v>60</x:v>
      </x:c>
      <x:c r="I9" t="n">
        <x:f>F9-G9</x:f>
        <x:v>-60</x:v>
      </x:c>
      <x:c r="J9" t="n">
        <x:f>D9-Assumptions!$B$10</x:f>
        <x:v>98</x:v>
      </x:c>
      <x:c r="K9" t="n">
        <x:f>MAX(J9,0)/$B$6</x:f>
        <x:v>61.25</x:v>
      </x:c>
      <x:c r="L9" t="n">
        <x:f>I9-K9</x:f>
        <x:v>-121.25</x:v>
      </x:c>
      <x:c r="M9" t="n">
        <x:f>1/(1+Assumptions!$B$2)^(B9+1)</x:f>
        <x:v>0.8810572687224669</x:v>
      </x:c>
      <x:c r="N9" t="n">
        <x:f>L9*M9</x:f>
        <x:v>-106.82819383259911</x:v>
      </x:c>
    </x:row>
    <x:row r="10">
      <x:c r="A10" t="n">
        <x:v>2027</x:v>
      </x:c>
      <x:c r="B10" t="n">
        <x:v>1</x:v>
      </x:c>
      <x:c r="C10" t="n">
        <x:f>$B$2+($B$3-$B$2)*(B10-1)/8</x:f>
        <x:v>0.85</x:v>
      </x:c>
      <x:c r="D10" t="n">
        <x:f>D9*(1+C10)</x:f>
        <x:v>370</x:v>
      </x:c>
      <x:c r="E10" t="n">
        <x:f>$B$4+($B$5-$B$4)*B10/9</x:f>
        <x:v>-0.22777777777777777</x:v>
      </x:c>
      <x:c r="F10" t="n">
        <x:f>D10*E10</x:f>
        <x:v>-84.27777777777777</x:v>
      </x:c>
      <x:c r="G10" t="n">
        <x:f>IF(F10&lt;0,0,MAX(F10-H9,0)*Assumptions!$B$4)</x:f>
        <x:v>0</x:v>
      </x:c>
      <x:c r="H10" t="n">
        <x:f>IF(F10&lt;0,H9-F10,MAX(H9-F10,0))</x:f>
        <x:v>144.27777777777777</x:v>
      </x:c>
      <x:c r="I10" t="n">
        <x:f>F10-G10</x:f>
        <x:v>-84.27777777777777</x:v>
      </x:c>
      <x:c r="J10" t="n">
        <x:f>D10-D9</x:f>
        <x:v>170</x:v>
      </x:c>
      <x:c r="K10" t="n">
        <x:f>MAX(J10,0)/$B$6</x:f>
        <x:v>106.25</x:v>
      </x:c>
      <x:c r="L10" t="n">
        <x:f>I10-K10</x:f>
        <x:v>-190.52777777777777</x:v>
      </x:c>
      <x:c r="M10" t="n">
        <x:f>1/(1+Assumptions!$B$2)^(B10+1)</x:f>
        <x:v>0.7762619107686933</x:v>
      </x:c>
      <x:c r="N10" t="n">
        <x:f>L10*M10</x:f>
        <x:v>-147.89945683229075</x:v>
      </x:c>
    </x:row>
    <x:row r="11">
      <x:c r="A11" t="n">
        <x:v>2028</x:v>
      </x:c>
      <x:c r="B11" t="n">
        <x:v>2</x:v>
      </x:c>
      <x:c r="C11" t="n">
        <x:f>$B$2+($B$3-$B$2)*(B11-1)/8</x:f>
        <x:v>0.75875</x:v>
      </x:c>
      <x:c r="D11" t="n">
        <x:f>D10*(1+C11)</x:f>
        <x:v>650.7375000000001</x:v>
      </x:c>
      <x:c r="E11" t="n">
        <x:f>$B$4+($B$5-$B$4)*B11/9</x:f>
        <x:v>-0.15555555555555556</x:v>
      </x:c>
      <x:c r="F11" t="n">
        <x:f>D11*E11</x:f>
        <x:v>-101.22583333333334</x:v>
      </x:c>
      <x:c r="G11" t="n">
        <x:f>IF(F11&lt;0,0,MAX(F11-H10,0)*Assumptions!$B$4)</x:f>
        <x:v>0</x:v>
      </x:c>
      <x:c r="H11" t="n">
        <x:f>IF(F11&lt;0,H10-F11,MAX(H10-F11,0))</x:f>
        <x:v>245.50361111111113</x:v>
      </x:c>
      <x:c r="I11" t="n">
        <x:f>F11-G11</x:f>
        <x:v>-101.22583333333334</x:v>
      </x:c>
      <x:c r="J11" t="n">
        <x:f>D11-D10</x:f>
        <x:v>280.73750000000007</x:v>
      </x:c>
      <x:c r="K11" t="n">
        <x:f>MAX(J11,0)/$B$6</x:f>
        <x:v>175.46093750000003</x:v>
      </x:c>
      <x:c r="L11" t="n">
        <x:f>I11-K11</x:f>
        <x:v>-276.68677083333336</x:v>
      </x:c>
      <x:c r="M11" t="n">
        <x:f>1/(1+Assumptions!$B$2)^(B11+1)</x:f>
        <x:v>0.6839311989151483</x:v>
      </x:c>
      <x:c r="N11" t="n">
        <x:f>L11*M11</x:f>
        <x:v>-189.23471490000256</x:v>
      </x:c>
    </x:row>
    <x:row r="12">
      <x:c r="A12" t="n">
        <x:v>2029</x:v>
      </x:c>
      <x:c r="B12" t="n">
        <x:v>3</x:v>
      </x:c>
      <x:c r="C12" t="n">
        <x:f>$B$2+($B$3-$B$2)*(B12-1)/8</x:f>
        <x:v>0.6675</x:v>
      </x:c>
      <x:c r="D12" t="n">
        <x:f>D11*(1+C12)</x:f>
        <x:v>1085.10478125</x:v>
      </x:c>
      <x:c r="E12" t="n">
        <x:f>$B$4+($B$5-$B$4)*B12/9</x:f>
        <x:v>-0.08333333333333334</x:v>
      </x:c>
      <x:c r="F12" t="n">
        <x:f>D12*E12</x:f>
        <x:v>-90.42539843750002</x:v>
      </x:c>
      <x:c r="G12" t="n">
        <x:f>IF(F12&lt;0,0,MAX(F12-H11,0)*Assumptions!$B$4)</x:f>
        <x:v>0</x:v>
      </x:c>
      <x:c r="H12" t="n">
        <x:f>IF(F12&lt;0,H11-F12,MAX(H11-F12,0))</x:f>
        <x:v>335.92900954861113</x:v>
      </x:c>
      <x:c r="I12" t="n">
        <x:f>F12-G12</x:f>
        <x:v>-90.42539843750002</x:v>
      </x:c>
      <x:c r="J12" t="n">
        <x:f>D12-D11</x:f>
        <x:v>434.36728125</x:v>
      </x:c>
      <x:c r="K12" t="n">
        <x:f>MAX(J12,0)/$B$6</x:f>
        <x:v>271.47955078125</x:v>
      </x:c>
      <x:c r="L12" t="n">
        <x:f>I12-K12</x:f>
        <x:v>-361.90494921875</x:v>
      </x:c>
      <x:c r="M12" t="n">
        <x:f>1/(1+Assumptions!$B$2)^(B12+1)</x:f>
        <x:v>0.6025825541102628</x:v>
      </x:c>
      <x:c r="N12" t="n">
        <x:f>L12*M12</x:f>
        <x:v>-218.07760864537934</x:v>
      </x:c>
    </x:row>
    <x:row r="13">
      <x:c r="A13" t="n">
        <x:v>2030</x:v>
      </x:c>
      <x:c r="B13" t="n">
        <x:v>4</x:v>
      </x:c>
      <x:c r="C13" t="n">
        <x:f>$B$2+($B$3-$B$2)*(B13-1)/8</x:f>
        <x:v>0.5762499999999999</x:v>
      </x:c>
      <x:c r="D13" t="n">
        <x:f>D12*(1+C13)</x:f>
        <x:v>1710.3964114453127</x:v>
      </x:c>
      <x:c r="E13" t="n">
        <x:f>$B$4+($B$5-$B$4)*B13/9</x:f>
        <x:v>-0.011111111111111127</x:v>
      </x:c>
      <x:c r="F13" t="n">
        <x:f>D13*E13</x:f>
        <x:v>-19.00440457161461</x:v>
      </x:c>
      <x:c r="G13" t="n">
        <x:f>IF(F13&lt;0,0,MAX(F13-H12,0)*Assumptions!$B$4)</x:f>
        <x:v>0</x:v>
      </x:c>
      <x:c r="H13" t="n">
        <x:f>IF(F13&lt;0,H12-F13,MAX(H12-F13,0))</x:f>
        <x:v>354.93341412022573</x:v>
      </x:c>
      <x:c r="I13" t="n">
        <x:f>F13-G13</x:f>
        <x:v>-19.00440457161461</x:v>
      </x:c>
      <x:c r="J13" t="n">
        <x:f>D13-D12</x:f>
        <x:v>625.2916301953126</x:v>
      </x:c>
      <x:c r="K13" t="n">
        <x:f>MAX(J13,0)/$B$6</x:f>
        <x:v>390.8072688720703</x:v>
      </x:c>
      <x:c r="L13" t="n">
        <x:f>I13-K13</x:f>
        <x:v>-409.8116734436849</x:v>
      </x:c>
      <x:c r="M13" t="n">
        <x:f>1/(1+Assumptions!$B$2)^(B13+1)</x:f>
        <x:v>0.5309097393041963</x:v>
      </x:c>
      <x:c r="N13" t="n">
        <x:f>L13*M13</x:f>
        <x:v>-217.57300871180317</x:v>
      </x:c>
    </x:row>
    <x:row r="14">
      <x:c r="A14" t="n">
        <x:v>2031</x:v>
      </x:c>
      <x:c r="B14" t="n">
        <x:v>5</x:v>
      </x:c>
      <x:c r="C14" t="n">
        <x:f>$B$2+($B$3-$B$2)*(B14-1)/8</x:f>
        <x:v>0.485</x:v>
      </x:c>
      <x:c r="D14" t="n">
        <x:f>D13*(1+C14)</x:f>
        <x:v>2539.938670996289</x:v>
      </x:c>
      <x:c r="E14" t="n">
        <x:f>$B$4+($B$5-$B$4)*B14/9</x:f>
        <x:v>0.06111111111111106</x:v>
      </x:c>
      <x:c r="F14" t="n">
        <x:f>D14*E14</x:f>
        <x:v>155.218474338662</x:v>
      </x:c>
      <x:c r="G14" t="n">
        <x:f>IF(F14&lt;0,0,MAX(F14-H13,0)*Assumptions!$B$4)</x:f>
        <x:v>0</x:v>
      </x:c>
      <x:c r="H14" t="n">
        <x:f>IF(F14&lt;0,H13-F14,MAX(H13-F14,0))</x:f>
        <x:v>199.71493978156374</x:v>
      </x:c>
      <x:c r="I14" t="n">
        <x:f>F14-G14</x:f>
        <x:v>155.218474338662</x:v>
      </x:c>
      <x:c r="J14" t="n">
        <x:f>D14-D13</x:f>
        <x:v>829.5422595509765</x:v>
      </x:c>
      <x:c r="K14" t="n">
        <x:f>MAX(J14,0)/$B$6</x:f>
        <x:v>518.4639122193603</x:v>
      </x:c>
      <x:c r="L14" t="n">
        <x:f>I14-K14</x:f>
        <x:v>-363.2454378806983</x:v>
      </x:c>
      <x:c r="M14" t="n">
        <x:f>1/(1+Assumptions!$B$2)^(B14+1)</x:f>
        <x:v>0.4677618848495122</x:v>
      </x:c>
      <x:c r="N14" t="n">
        <x:f>L14*M14</x:f>
        <x:v>-169.91237068606185</x:v>
      </x:c>
    </x:row>
    <x:row r="15">
      <x:c r="A15" t="n">
        <x:v>2032</x:v>
      </x:c>
      <x:c r="B15" t="n">
        <x:v>6</x:v>
      </x:c>
      <x:c r="C15" t="n">
        <x:f>$B$2+($B$3-$B$2)*(B15-1)/8</x:f>
        <x:v>0.39375</x:v>
      </x:c>
      <x:c r="D15" t="n">
        <x:f>D14*(1+C15)</x:f>
        <x:v>3540.039522701078</x:v>
      </x:c>
      <x:c r="E15" t="n">
        <x:f>$B$4+($B$5-$B$4)*B15/9</x:f>
        <x:v>0.1333333333333333</x:v>
      </x:c>
      <x:c r="F15" t="n">
        <x:f>D15*E15</x:f>
        <x:v>472.005269693477</x:v>
      </x:c>
      <x:c r="G15" t="n">
        <x:f>IF(F15&lt;0,0,MAX(F15-H14,0)*Assumptions!$B$4)</x:f>
        <x:v>40.843549486786976</x:v>
      </x:c>
      <x:c r="H15" t="n">
        <x:f>IF(F15&lt;0,H14-F15,MAX(H14-F15,0))</x:f>
        <x:v>0</x:v>
      </x:c>
      <x:c r="I15" t="n">
        <x:f>F15-G15</x:f>
        <x:v>431.16172020669</x:v>
      </x:c>
      <x:c r="J15" t="n">
        <x:f>D15-D14</x:f>
        <x:v>1000.100851704789</x:v>
      </x:c>
      <x:c r="K15" t="n">
        <x:f>MAX(J15,0)/$B$6</x:f>
        <x:v>625.063032315493</x:v>
      </x:c>
      <x:c r="L15" t="n">
        <x:f>I15-K15</x:f>
        <x:v>-193.90131210880304</x:v>
      </x:c>
      <x:c r="M15" t="n">
        <x:f>1/(1+Assumptions!$B$2)^(B15+1)</x:f>
        <x:v>0.41212500867798435</x:v>
      </x:c>
      <x:c r="N15" t="n">
        <x:f>L15*M15</x:f>
        <x:v>-79.911579935513</x:v>
      </x:c>
    </x:row>
    <x:row r="16">
      <x:c r="A16" t="n">
        <x:v>2033</x:v>
      </x:c>
      <x:c r="B16" t="n">
        <x:v>7</x:v>
      </x:c>
      <x:c r="C16" t="n">
        <x:f>$B$2+($B$3-$B$2)*(B16-1)/8</x:f>
        <x:v>0.3025</x:v>
      </x:c>
      <x:c r="D16" t="n">
        <x:f>D15*(1+C16)</x:f>
        <x:v>4610.901478318155</x:v>
      </x:c>
      <x:c r="E16" t="n">
        <x:f>$B$4+($B$5-$B$4)*B16/9</x:f>
        <x:v>0.20555555555555544</x:v>
      </x:c>
      <x:c r="F16" t="n">
        <x:f>D16*E16</x:f>
        <x:v>947.7964149876201</x:v>
      </x:c>
      <x:c r="G16" t="n">
        <x:f>IF(F16&lt;0,0,MAX(F16-H15,0)*Assumptions!$B$4)</x:f>
        <x:v>142.16946224814302</x:v>
      </x:c>
      <x:c r="H16" t="n">
        <x:f>IF(F16&lt;0,H15-F16,MAX(H15-F16,0))</x:f>
        <x:v>0</x:v>
      </x:c>
      <x:c r="I16" t="n">
        <x:f>F16-G16</x:f>
        <x:v>805.626952739477</x:v>
      </x:c>
      <x:c r="J16" t="n">
        <x:f>D16-D15</x:f>
        <x:v>1070.8619556170765</x:v>
      </x:c>
      <x:c r="K16" t="n">
        <x:f>MAX(J16,0)/$B$6</x:f>
        <x:v>669.2887222606728</x:v>
      </x:c>
      <x:c r="L16" t="n">
        <x:f>I16-K16</x:f>
        <x:v>136.33823047880423</x:v>
      </x:c>
      <x:c r="M16" t="n">
        <x:f>1/(1+Assumptions!$B$2)^(B16+1)</x:f>
        <x:v>0.36310573451804784</x:v>
      </x:c>
      <x:c r="N16" t="n">
        <x:f>L16*M16</x:f>
        <x:v>49.505193320897106</x:v>
      </x:c>
    </x:row>
    <x:row r="17">
      <x:c r="A17" t="n">
        <x:v>2034</x:v>
      </x:c>
      <x:c r="B17" t="n">
        <x:v>8</x:v>
      </x:c>
      <x:c r="C17" t="n">
        <x:f>$B$2+($B$3-$B$2)*(B17-1)/8</x:f>
        <x:v>0.21125000000000005</x:v>
      </x:c>
      <x:c r="D17" t="n">
        <x:f>D16*(1+C17)</x:f>
        <x:v>5584.954415612866</x:v>
      </x:c>
      <x:c r="E17" t="n">
        <x:f>$B$4+($B$5-$B$4)*B17/9</x:f>
        <x:v>0.27777777777777773</x:v>
      </x:c>
      <x:c r="F17" t="n">
        <x:f>D17*E17</x:f>
        <x:v>1551.3762265591292</x:v>
      </x:c>
      <x:c r="G17" t="n">
        <x:f>IF(F17&lt;0,0,MAX(F17-H16,0)*Assumptions!$B$4)</x:f>
        <x:v>232.70643398386937</x:v>
      </x:c>
      <x:c r="H17" t="n">
        <x:f>IF(F17&lt;0,H16-F17,MAX(H16-F17,0))</x:f>
        <x:v>0</x:v>
      </x:c>
      <x:c r="I17" t="n">
        <x:f>F17-G17</x:f>
        <x:v>1318.6697925752599</x:v>
      </x:c>
      <x:c r="J17" t="n">
        <x:f>D17-D16</x:f>
        <x:v>974.0529372947112</x:v>
      </x:c>
      <x:c r="K17" t="n">
        <x:f>MAX(J17,0)/$B$6</x:f>
        <x:v>608.7830858091945</x:v>
      </x:c>
      <x:c r="L17" t="n">
        <x:f>I17-K17</x:f>
        <x:v>709.8867067660653</x:v>
      </x:c>
      <x:c r="M17" t="n">
        <x:f>1/(1+Assumptions!$B$2)^(B17+1)</x:f>
        <x:v>0.31991694671193643</x:v>
      </x:c>
      <x:c r="N17" t="n">
        <x:f>L17*M17</x:f>
        <x:v>227.10478773999137</x:v>
      </x:c>
    </x:row>
    <x:row r="18">
      <x:c r="A18" t="n">
        <x:v>2035</x:v>
      </x:c>
      <x:c r="B18" t="n">
        <x:v>9</x:v>
      </x:c>
      <x:c r="C18" t="n">
        <x:f>$B$2+($B$3-$B$2)*(B18-1)/8</x:f>
        <x:v>0.12</x:v>
      </x:c>
      <x:c r="D18" t="n">
        <x:f>D17*(1+C18)</x:f>
        <x:v>6255.14894548641</x:v>
      </x:c>
      <x:c r="E18" t="n">
        <x:f>$B$4+($B$5-$B$4)*B18/9</x:f>
        <x:v>0.3499999999999999</x:v>
      </x:c>
      <x:c r="F18" t="n">
        <x:f>D18*E18</x:f>
        <x:v>2189.302130920243</x:v>
      </x:c>
      <x:c r="G18" t="n">
        <x:f>IF(F18&lt;0,0,MAX(F18-H17,0)*Assumptions!$B$4)</x:f>
        <x:v>328.3953196380365</x:v>
      </x:c>
      <x:c r="H18" t="n">
        <x:f>IF(F18&lt;0,H17-F18,MAX(H17-F18,0))</x:f>
        <x:v>0</x:v>
      </x:c>
      <x:c r="I18" t="n">
        <x:f>F18-G18</x:f>
        <x:v>1860.9068112822067</x:v>
      </x:c>
      <x:c r="J18" t="n">
        <x:f>D18-D17</x:f>
        <x:v>670.1945298735445</x:v>
      </x:c>
      <x:c r="K18" t="n">
        <x:f>MAX(J18,0)/$B$6</x:f>
        <x:v>418.8715811709653</x:v>
      </x:c>
      <x:c r="L18" t="n">
        <x:f>I18-K18</x:f>
        <x:v>1442.0352301112414</x:v>
      </x:c>
      <x:c r="M18" t="n">
        <x:f>1/(1+Assumptions!$B$2)^(B18+1)</x:f>
        <x:v>0.2818651512880497</x:v>
      </x:c>
      <x:c r="N18" t="n">
        <x:f>L18*M18</x:f>
        <x:v>406.4594782980026</x:v>
      </x:c>
    </x:row>
    <x:row r="20">
      <x:c r="A20" t="inlineStr">
        <x:is>
          <x:t xml:space="preserve">Sum PV (explicit)</x:t>
        </x:is>
      </x:c>
      <x:c r="B20" t="n">
        <x:f>SUM(N9:N18)</x:f>
        <x:v>-446.3674741847586</x:v>
      </x:c>
    </x:row>
    <x:row r="21">
      <x:c r="A21" t="inlineStr">
        <x:is>
          <x:t xml:space="preserve">Terminal value</x:t>
        </x:is>
      </x:c>
      <x:c r="B21" t="n">
        <x:f>L18*(1+Assumptions!$B$3)/(Assumptions!$B$2-Assumptions!$B$3)</x:f>
        <x:v>15786.49094016517</x:v>
      </x:c>
    </x:row>
    <x:row r="22">
      <x:c r="A22" t="inlineStr">
        <x:is>
          <x:t xml:space="preserve">PV terminal</x:t>
        </x:is>
      </x:c>
      <x:c r="B22" t="n">
        <x:f>B21*M18</x:f>
        <x:v>4449.661657157081</x:v>
      </x:c>
    </x:row>
    <x:row r="23">
      <x:c r="A23" t="inlineStr">
        <x:is>
          <x:t xml:space="preserve">Enterprise value</x:t>
        </x:is>
      </x:c>
      <x:c r="B23" t="n">
        <x:f>B20+B22</x:f>
        <x:v>4003.2941829723227</x:v>
      </x:c>
    </x:row>
    <x:row r="24">
      <x:c r="A24" t="inlineStr">
        <x:is>
          <x:t xml:space="preserve">Equity value (US$m)</x:t>
        </x:is>
      </x:c>
      <x:c r="B24" t="n">
        <x:f>B23+Assumptions!$B$7</x:f>
        <x:v>4553.294182972322</x:v>
      </x:c>
    </x:row>
    <x:row r="25">
      <x:c r="A25" t="inlineStr">
        <x:is>
          <x:t xml:space="preserve">Per share (US$)</x:t>
        </x:is>
      </x:c>
      <x:c r="B25" t="n">
        <x:f>B24/Assumptions!$B$5</x:f>
        <x:v>10.2127748623895</x:v>
      </x:c>
    </x:row>
    <x:row r="26">
      <x:c r="A26" t="inlineStr">
        <x:is>
          <x:t xml:space="preserve">Per share (HK$)</x:t>
        </x:is>
      </x:c>
      <x:c r="B26" t="n">
        <x:f>B25*Assumptions!$B$6</x:f>
        <x:v>79.6596439266381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t="inlineStr">
        <x:is>
          <x:t xml:space="preserve">VALUATION SUMMARY</x:t>
        </x:is>
      </x:c>
    </x:row>
    <x:row r="2">
      <x:c r="A2" t="inlineStr">
        <x:is>
          <x:t xml:space="preserve">Scenario</x:t>
        </x:is>
      </x:c>
      <x:c r="B2" t="inlineStr">
        <x:is>
          <x:t xml:space="preserve">Prob</x:t>
        </x:is>
      </x:c>
      <x:c r="C2" t="inlineStr">
        <x:is>
          <x:t xml:space="preserve">Equity (US$m)</x:t>
        </x:is>
      </x:c>
      <x:c r="D2" t="inlineStr">
        <x:is>
          <x:t xml:space="preserve">Per share (HK$)</x:t>
        </x:is>
      </x:c>
    </x:row>
    <x:row r="3">
      <x:c r="A3" t="inlineStr">
        <x:is>
          <x:t xml:space="preserve">Bear</x:t>
        </x:is>
      </x:c>
      <x:c r="B3" t="n">
        <x:v>0.35</x:v>
      </x:c>
      <x:c r="C3" t="n">
        <x:f>Bear!B24</x:f>
        <x:v>682.9887095873745</x:v>
      </x:c>
      <x:c r="D3" t="n">
        <x:f>Bear!B26</x:f>
        <x:v>11.948851803844674</x:v>
      </x:c>
    </x:row>
    <x:row r="4">
      <x:c r="A4" t="inlineStr">
        <x:is>
          <x:t xml:space="preserve">Base</x:t>
        </x:is>
      </x:c>
      <x:c r="B4" t="n">
        <x:v>0.45</x:v>
      </x:c>
      <x:c r="C4" t="n">
        <x:f>Base!B24</x:f>
        <x:v>1564.5484327927388</x:v>
      </x:c>
      <x:c r="D4" t="n">
        <x:f>Base!B26</x:f>
        <x:v>27.37169312018662</x:v>
      </x:c>
    </x:row>
    <x:row r="5">
      <x:c r="A5" t="inlineStr">
        <x:is>
          <x:t xml:space="preserve">Bull</x:t>
        </x:is>
      </x:c>
      <x:c r="B5" t="n">
        <x:v>0.2</x:v>
      </x:c>
      <x:c r="C5" t="n">
        <x:f>Bull!B24</x:f>
        <x:v>4553.294182972322</x:v>
      </x:c>
      <x:c r="D5" t="n">
        <x:f>Bull!B26</x:f>
        <x:v>79.6596439266381</x:v>
      </x:c>
    </x:row>
    <x:row r="6">
      <x:c r="A6" t="inlineStr">
        <x:is>
          <x:t xml:space="preserve">PROB-WEIGHTED</x:t>
        </x:is>
      </x:c>
      <x:c r="C6" t="n">
        <x:f>SUMPRODUCT(B3:B5,C3:C5)/SUM(B3:B5)</x:f>
        <x:v>1853.751679706778</x:v>
      </x:c>
      <x:c r="D6" t="n">
        <x:f>SUMPRODUCT(B3:B5,D3:D5)/SUM(B3:B5)</x:f>
        <x:v>32.43128882075723</x:v>
      </x:c>
    </x:row>
    <x:row r="7">
      <x:c r="A7" t="inlineStr">
        <x:is>
          <x:t xml:space="preserve">Market price (HK$)</x:t>
        </x:is>
      </x:c>
      <x:c r="B7" t="n">
        <x:f>Assumptions!B9</x:f>
        <x:v>1090</x:v>
      </x:c>
    </x:row>
    <x:row r="8">
      <x:c r="A8" t="inlineStr">
        <x:is>
          <x:t xml:space="preserve">DCF value as % of market</x:t>
        </x:is>
      </x:c>
      <x:c r="B8" t="n">
        <x:f>D6/B7</x:f>
        <x:v>0.029753475982346084</x:v>
      </x:c>
    </x:row>
    <x:row r="9">
      <x:c r="A9" t="inlineStr">
        <x:is>
          <x:t xml:space="preserve">Market equity value / revenue</x:t>
        </x:is>
      </x:c>
      <x:c r="B9" t="n">
        <x:f>(Assumptions!B9*Assumptions!B5/Assumptions!B6)/Assumptions!B11</x:f>
        <x:v>311.5185064102564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42" hidden="0" customWidth="1"/>
    <x:col min="2" max="2" width="18" hidden="0" customWidth="1"/>
  </x:cols>
  <x:sheetData>
    <x:row r="1">
      <x:c r="A1" t="inlineStr">
        <x:is>
          <x:t xml:space="preserve">Market date</x:t>
        </x:is>
      </x:c>
      <x:c r="B1" t="str">
        <x:v>2026-08-28</x:v>
      </x:c>
    </x:row>
    <x:row r="2">
      <x:c r="A2" t="inlineStr">
        <x:is>
          <x:t xml:space="preserve">Market price (HK$)</x:t>
        </x:is>
      </x:c>
      <x:c r="B2" t="n">
        <x:v>1090</x:v>
      </x:c>
    </x:row>
    <x:row r="3">
      <x:c r="A3" t="inlineStr">
        <x:is>
          <x:t xml:space="preserve">Market equity value (US$m)</x:t>
        </x:is>
      </x:c>
      <x:c r="B3" t="n">
        <x:v>62303.7</x:v>
      </x:c>
    </x:row>
    <x:row r="4">
      <x:c r="A4" t="str">
        <x:v>Market equity value / FY2026E revenue</x:v>
      </x:c>
      <x:c r="B4" t="n">
        <x:v>311.5</x:v>
      </x:c>
    </x:row>
    <x:row r="5">
      <x:c r="A5" t="inlineStr">
        <x:is>
          <x:t xml:space="preserve">Bear per share (HK$)</x:t>
        </x:is>
      </x:c>
      <x:c r="B5" t="n">
        <x:v>11.9</x:v>
      </x:c>
    </x:row>
    <x:row r="6">
      <x:c r="A6" t="inlineStr">
        <x:is>
          <x:t xml:space="preserve">Base per share (HK$)</x:t>
        </x:is>
      </x:c>
      <x:c r="B6" t="n">
        <x:v>27.4</x:v>
      </x:c>
    </x:row>
    <x:row r="7">
      <x:c r="A7" t="inlineStr">
        <x:is>
          <x:t xml:space="preserve">Bull per share (HK$)</x:t>
        </x:is>
      </x:c>
      <x:c r="B7" t="n">
        <x:v>79.7</x:v>
      </x:c>
    </x:row>
    <x:row r="8">
      <x:c r="A8" t="inlineStr">
        <x:is>
          <x:t xml:space="preserve">Probability-weighted equity (US$m)</x:t>
        </x:is>
      </x:c>
      <x:c r="B8" t="n">
        <x:v>1853.8</x:v>
      </x:c>
    </x:row>
    <x:row r="9">
      <x:c r="A9" t="inlineStr">
        <x:is>
          <x:t xml:space="preserve">Probability-weighted per share (HK$)</x:t>
        </x:is>
      </x:c>
      <x:c r="B9" t="n">
        <x:v>32.4</x:v>
      </x:c>
    </x:row>
    <x:row r="10">
      <x:c r="A10" t="inlineStr">
        <x:is>
          <x:t xml:space="preserve">DCF value as % of market</x:t>
        </x:is>
      </x:c>
      <x:c r="B10" t="n">
        <x:v>0.0298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2" hidden="0" customWidth="1"/>
  </x:cols>
  <x:sheetData>
    <x:row r="1" ht="36" customHeight="1">
      <x:c r="A1" s="63" t="str">
        <x:v>company</x:v>
      </x:c>
      <x:c r="B1" s="63" t="str">
        <x:v>ticker</x:v>
      </x:c>
      <x:c r="C1" s="63" t="str">
        <x:v>cohort</x:v>
      </x:c>
      <x:c r="D1" s="63" t="str">
        <x:v>valuation_date</x:v>
      </x:c>
      <x:c r="E1" s="63" t="str">
        <x:v>valuation_basis</x:v>
      </x:c>
      <x:c r="F1" s="63" t="str">
        <x:v>equity_value_bn</x:v>
      </x:c>
      <x:c r="G1" s="63" t="str">
        <x:v>revenue_bn</x:v>
      </x:c>
      <x:c r="H1" s="63" t="str">
        <x:v>currency</x:v>
      </x:c>
      <x:c r="I1" s="63" t="str">
        <x:v>revenue_basis</x:v>
      </x:c>
      <x:c r="J1" s="63" t="str">
        <x:v>include_in_private_range</x:v>
      </x:c>
      <x:c r="K1" s="63" t="str">
        <x:v>valuation_source_url</x:v>
      </x:c>
      <x:c r="L1" s="63" t="str">
        <x:v>revenue_source_url</x:v>
      </x:c>
      <x:c r="M1" s="63" t="str">
        <x:v>comparability_note</x:v>
      </x:c>
      <x:c r="N1" s="63" t="str">
        <x:v>multiple_x</x:v>
      </x:c>
    </x:row>
    <x:row r="2" ht="46" customHeight="1">
      <x:c r="A2" s="65" t="str">
        <x:v>Zhipu</x:v>
      </x:c>
      <x:c r="B2" s="65" t="str">
        <x:v>02513.HK</x:v>
      </x:c>
      <x:c r="C2" s="65" t="str">
        <x:v>core_frontier</x:v>
      </x:c>
      <x:c r="D2" s="81" t="str">
        <x:v>2026-08-28</x:v>
      </x:c>
      <x:c r="E2" s="101" t="str">
        <x:v>public market equity value</x:v>
      </x:c>
      <x:c r="F2" s="85" t="str">
        <x:v>62.303701</x:v>
      </x:c>
      <x:c r="G2" s="85" t="str">
        <x:v>0.2</x:v>
      </x:c>
      <x:c r="H2" s="86" t="str">
        <x:v>USD</x:v>
      </x:c>
      <x:c r="I2" s="105" t="str">
        <x:v>FY2026E model revenue</x:v>
      </x:c>
      <x:c r="J2" s="87" t="str">
        <x:v>0</x:v>
      </x:c>
      <x:c r="K2" s="101" t="str">
        <x:v>https://tushare.pro/document/2?doc_id=192</x:v>
      </x:c>
      <x:c r="L2" s="101" t="str">
        <x:v>https://github.com/ericxuzhesheng/Zhipu-AI-Valuation/blob/main/model/valuation_model.xlsx</x:v>
      </x:c>
      <x:c r="M2" s="101" t="str">
        <x:v>Subject company; equity value and revenue are refreshed from the local market file and model assumptions.</x:v>
      </x:c>
      <x:c r="N2" s="97" t="n">
        <x:f>F2/G2</x:f>
        <x:v>311.51850499999995</x:v>
      </x:c>
    </x:row>
    <x:row r="3" ht="46" customHeight="1">
      <x:c r="A3" s="66" t="str">
        <x:v>MiniMax</x:v>
      </x:c>
      <x:c r="B3" s="66" t="str">
        <x:v>00100.HK</x:v>
      </x:c>
      <x:c r="C3" s="66" t="str">
        <x:v>core_frontier</x:v>
      </x:c>
      <x:c r="D3" s="82" t="str">
        <x:v>2026-08-28</x:v>
      </x:c>
      <x:c r="E3" s="102" t="str">
        <x:v>public market equity value</x:v>
      </x:c>
      <x:c r="F3" s="88" t="str">
        <x:v>13.450037</x:v>
      </x:c>
      <x:c r="G3" s="88" t="str">
        <x:v>0.165182</x:v>
      </x:c>
      <x:c r="H3" s="89" t="str">
        <x:v>USD</x:v>
      </x:c>
      <x:c r="I3" s="106" t="str">
        <x:v>LTM through 2026H1</x:v>
      </x:c>
      <x:c r="J3" s="90" t="str">
        <x:v>0</x:v>
      </x:c>
      <x:c r="K3" s="102" t="str">
        <x:v>https://www1.hkexnews.hk/listedco/listconews/sehk/2026/0806/2026080601088.pdf</x:v>
      </x:c>
      <x:c r="L3" s="102" t="str">
        <x:v>https://www1.hkexnews.hk/listedco/listconews/sehk/2026/0826/2026082600680.pdf</x:v>
      </x:c>
      <x:c r="M3" s="102" t="str">
        <x:v>Closest listed foundation-model peer; public-market LTM multiple is shown separately from private transaction references.</x:v>
      </x:c>
      <x:c r="N3" s="98" t="n">
        <x:f>F3/G3</x:f>
        <x:v>81.42556089646573</x:v>
      </x:c>
    </x:row>
    <x:row r="4" ht="46" customHeight="1">
      <x:c r="A4" s="66" t="str">
        <x:v>OpenAI</x:v>
      </x:c>
      <x:c r="B4" s="66" t="str">
        <x:v>private</x:v>
      </x:c>
      <x:c r="C4" s="66" t="str">
        <x:v>core_frontier</x:v>
      </x:c>
      <x:c r="D4" s="82" t="str">
        <x:v>2026-03-31</x:v>
      </x:c>
      <x:c r="E4" s="102" t="str">
        <x:v>post-money financing</x:v>
      </x:c>
      <x:c r="F4" s="88" t="str">
        <x:v>852.0</x:v>
      </x:c>
      <x:c r="G4" s="88" t="str">
        <x:v>25.0</x:v>
      </x:c>
      <x:c r="H4" s="89" t="str">
        <x:v>USD</x:v>
      </x:c>
      <x:c r="I4" s="106" t="str">
        <x:v>annualized revenue at February 2026</x:v>
      </x:c>
      <x:c r="J4" s="90" t="str">
        <x:v>1</x:v>
      </x:c>
      <x:c r="K4" s="102" t="str">
        <x:v>https://openai.com/index/accelerating-the-next-phase-ai/</x:v>
      </x:c>
      <x:c r="L4" s="102" t="str">
        <x:v>https://finance.yahoo.com/news/openai-tops-25-billion-annualized-033836274.html</x:v>
      </x:c>
      <x:c r="M4" s="102" t="str">
        <x:v>Private frontier-lab transaction reference; revenue was reported by Reuters and was not independently verified.</x:v>
      </x:c>
      <x:c r="N4" s="98" t="n">
        <x:f>F4/G4</x:f>
        <x:v>34.08</x:v>
      </x:c>
    </x:row>
    <x:row r="5" ht="46" customHeight="1">
      <x:c r="A5" s="66" t="str">
        <x:v>Anthropic</x:v>
      </x:c>
      <x:c r="B5" s="66" t="str">
        <x:v>private</x:v>
      </x:c>
      <x:c r="C5" s="66" t="str">
        <x:v>core_frontier</x:v>
      </x:c>
      <x:c r="D5" s="82" t="str">
        <x:v>2026-05-28</x:v>
      </x:c>
      <x:c r="E5" s="102" t="str">
        <x:v>post-money financing</x:v>
      </x:c>
      <x:c r="F5" s="88" t="str">
        <x:v>965.0</x:v>
      </x:c>
      <x:c r="G5" s="88" t="str">
        <x:v>47.0</x:v>
      </x:c>
      <x:c r="H5" s="89" t="str">
        <x:v>USD</x:v>
      </x:c>
      <x:c r="I5" s="106" t="str">
        <x:v>annualized revenue at May 2026</x:v>
      </x:c>
      <x:c r="J5" s="90" t="str">
        <x:v>1</x:v>
      </x:c>
      <x:c r="K5" s="102" t="str">
        <x:v>https://www.anthropic.com/news/series-h</x:v>
      </x:c>
      <x:c r="L5" s="102" t="str">
        <x:v>https://www.anthropic.com/news/series-h</x:v>
      </x:c>
      <x:c r="M5" s="102" t="str">
        <x:v>Private frontier-lab transaction reference with valuation and revenue disclosed together by the company.</x:v>
      </x:c>
      <x:c r="N5" s="98" t="n">
        <x:f>F5/G5</x:f>
        <x:v>20.53191489361702</x:v>
      </x:c>
    </x:row>
    <x:row r="6" ht="46" customHeight="1">
      <x:c r="A6" s="66" t="str">
        <x:v>Mistral</x:v>
      </x:c>
      <x:c r="B6" s="66" t="str">
        <x:v>private</x:v>
      </x:c>
      <x:c r="C6" s="66" t="str">
        <x:v>core_frontier</x:v>
      </x:c>
      <x:c r="D6" s="82" t="str">
        <x:v>2025-09-09</x:v>
      </x:c>
      <x:c r="E6" s="102" t="str">
        <x:v>post-money financing</x:v>
      </x:c>
      <x:c r="F6" s="88" t="str">
        <x:v>11.7</x:v>
      </x:c>
      <x:c r="G6" s="88" t="str">
        <x:v>0.3</x:v>
      </x:c>
      <x:c r="H6" s="89" t="str">
        <x:v>EUR</x:v>
      </x:c>
      <x:c r="I6" s="106" t="str">
        <x:v>annualized revenue at September 2025</x:v>
      </x:c>
      <x:c r="J6" s="90" t="str">
        <x:v>1</x:v>
      </x:c>
      <x:c r="K6" s="102" t="str">
        <x:v>https://mistral.ai/news/mistral-ai-raises-1-7-b-to-accelerate-technological-progress-with-ai/</x:v>
      </x:c>
      <x:c r="L6" s="102" t="str">
        <x:v>https://www.lemonde.fr/economie/article/2025/09/26/mistral-ai-incarnation-de-l-intelligence-artificielle_6643087_3234.html</x:v>
      </x:c>
      <x:c r="M6" s="102" t="str">
        <x:v>Older private frontier-lab reference; included in the private transaction range but dated separately.</x:v>
      </x:c>
      <x:c r="N6" s="98" t="n">
        <x:f>F6/G6</x:f>
        <x:v>39</x:v>
      </x:c>
    </x:row>
    <x:row r="7" ht="46" customHeight="1">
      <x:c r="A7" s="67" t="str">
        <x:v>SenseTime</x:v>
      </x:c>
      <x:c r="B7" s="67" t="str">
        <x:v>00020.HK</x:v>
      </x:c>
      <x:c r="C7" s="67" t="str">
        <x:v>hk_adjacent</x:v>
      </x:c>
      <x:c r="D7" s="83" t="str">
        <x:v>2026-08-28</x:v>
      </x:c>
      <x:c r="E7" s="103" t="str">
        <x:v>implied total equity value</x:v>
      </x:c>
      <x:c r="F7" s="91" t="str">
        <x:v>54.04443</x:v>
      </x:c>
      <x:c r="G7" s="91" t="str">
        <x:v>5.567388</x:v>
      </x:c>
      <x:c r="H7" s="92" t="str">
        <x:v>CNY</x:v>
      </x:c>
      <x:c r="I7" s="107" t="str">
        <x:v>LTM through 2026H1</x:v>
      </x:c>
      <x:c r="J7" s="93" t="str">
        <x:v>0</x:v>
      </x:c>
      <x:c r="K7" s="103" t="str">
        <x:v>https://www1.hkexnews.hk/listedco/listconews/sehk/2026/0805/2026080500774.pdf</x:v>
      </x:c>
      <x:c r="L7" s="103" t="str">
        <x:v>https://www1.hkexnews.hk/listedco/listconews/sehk/2026/0826/2026082600408.pdf</x:v>
      </x:c>
      <x:c r="M7" s="103" t="str">
        <x:v>Adjacent Hong Kong AI platform; mixed computer-vision generative-AI and solution revenue makes it contextual only.</x:v>
      </x:c>
      <x:c r="N7" s="99" t="n">
        <x:f>F7/G7</x:f>
        <x:v>9.70732235655212</x:v>
      </x:c>
    </x:row>
    <x:row r="8" ht="46" customHeight="1">
      <x:c r="A8" s="67" t="str">
        <x:v>Phancy</x:v>
      </x:c>
      <x:c r="B8" s="67" t="str">
        <x:v>06682.HK</x:v>
      </x:c>
      <x:c r="C8" s="67" t="str">
        <x:v>hk_adjacent</x:v>
      </x:c>
      <x:c r="D8" s="83" t="str">
        <x:v>2026-08-28</x:v>
      </x:c>
      <x:c r="E8" s="103" t="str">
        <x:v>implied total equity value</x:v>
      </x:c>
      <x:c r="F8" s="91" t="str">
        <x:v>13.375496</x:v>
      </x:c>
      <x:c r="G8" s="91" t="str">
        <x:v>8.274083</x:v>
      </x:c>
      <x:c r="H8" s="92" t="str">
        <x:v>CNY</x:v>
      </x:c>
      <x:c r="I8" s="107" t="str">
        <x:v>LTM through 2026H1</x:v>
      </x:c>
      <x:c r="J8" s="93" t="str">
        <x:v>0</x:v>
      </x:c>
      <x:c r="K8" s="103" t="str">
        <x:v>https://www1.hkexnews.hk/listedco/listconews/sehk/2026/0805/2026080500986.pdf</x:v>
      </x:c>
      <x:c r="L8" s="103" t="str">
        <x:v>https://www1.hkexnews.hk/listedco/listconews/sehk/2026/0820/2026082000357.pdf</x:v>
      </x:c>
      <x:c r="M8" s="103" t="str">
        <x:v>Enterprise AI platform and agentic services with a different revenue and margin mix; contextual only.</x:v>
      </x:c>
      <x:c r="N8" s="99" t="n">
        <x:f>F8/G8</x:f>
        <x:v>1.6165532784720678</x:v>
      </x:c>
    </x:row>
    <x:row r="9" ht="46" customHeight="1">
      <x:c r="A9" s="67" t="str">
        <x:v>Wenge AI</x:v>
      </x:c>
      <x:c r="B9" s="67" t="str">
        <x:v>01956.HK</x:v>
      </x:c>
      <x:c r="C9" s="67" t="str">
        <x:v>hk_adjacent</x:v>
      </x:c>
      <x:c r="D9" s="83" t="str">
        <x:v>2026-08-28</x:v>
      </x:c>
      <x:c r="E9" s="103" t="str">
        <x:v>implied total equity value</x:v>
      </x:c>
      <x:c r="F9" s="91" t="str">
        <x:v>13.240056</x:v>
      </x:c>
      <x:c r="G9" s="91" t="str">
        <x:v>0.459773</x:v>
      </x:c>
      <x:c r="H9" s="92" t="str">
        <x:v>CNY</x:v>
      </x:c>
      <x:c r="I9" s="107" t="str">
        <x:v>LTM through 2026H1</x:v>
      </x:c>
      <x:c r="J9" s="93" t="str">
        <x:v>0</x:v>
      </x:c>
      <x:c r="K9" s="103" t="str">
        <x:v>https://www1.hkexnews.hk/listedco/listconews/sehk/2026/0805/2026080501012.pdf</x:v>
      </x:c>
      <x:c r="L9" s="103" t="str">
        <x:v>https://www1.hkexnews.hk/listedco/listconews/sehk/2026/0825/2026082500959.pdf</x:v>
      </x:c>
      <x:c r="M9" s="103" t="str">
        <x:v>Decision-intelligence and project-delivery model with a short trading history; contextual only.</x:v>
      </x:c>
      <x:c r="N9" s="99" t="n">
        <x:f>F9/G9</x:f>
        <x:v>28.7969410991946</x:v>
      </x:c>
    </x:row>
    <x:row r="10" ht="46" customHeight="1">
      <x:c r="A10" s="68" t="str">
        <x:v>Palantir</x:v>
      </x:c>
      <x:c r="B10" s="68" t="str">
        <x:v>PLTR</x:v>
      </x:c>
      <x:c r="C10" s="68" t="str">
        <x:v>commercialization_reference</x:v>
      </x:c>
      <x:c r="D10" s="84" t="str">
        <x:v>2026-08-28</x:v>
      </x:c>
      <x:c r="E10" s="104" t="str">
        <x:v>public market equity value</x:v>
      </x:c>
      <x:c r="F10" s="94" t="str">
        <x:v>447.64</x:v>
      </x:c>
      <x:c r="G10" s="94" t="str">
        <x:v>4.475446</x:v>
      </x:c>
      <x:c r="H10" s="95" t="str">
        <x:v>USD</x:v>
      </x:c>
      <x:c r="I10" s="108" t="str">
        <x:v>FY2025 revenue</x:v>
      </x:c>
      <x:c r="J10" s="96" t="str">
        <x:v>0</x:v>
      </x:c>
      <x:c r="K10" s="104" t="str">
        <x:v>https://www.gurufocus.com/stock/PLTR/data/market-cap</x:v>
      </x:c>
      <x:c r="L10" s="104" t="str">
        <x:v>https://www.sec.gov/Archives/edgar/data/1321655/000132165526000011/pltr-20251231.htm</x:v>
      </x:c>
      <x:c r="M10" s="104" t="str">
        <x:v>Mature AI software commercialization reference; not a frontier-model laboratory.</x:v>
      </x:c>
      <x:c r="N10" s="100" t="n">
        <x:f>F10/G10</x:f>
        <x:v>100.0213163112682</x:v>
      </x:c>
    </x:row>
    <x:row r="11" ht="46" customHeight="1">
      <x:c r="A11" s="68" t="str">
        <x:v>Cloudflare</x:v>
      </x:c>
      <x:c r="B11" s="68" t="str">
        <x:v>NET</x:v>
      </x:c>
      <x:c r="C11" s="68" t="str">
        <x:v>commercialization_reference</x:v>
      </x:c>
      <x:c r="D11" s="84" t="str">
        <x:v>2026-08-28</x:v>
      </x:c>
      <x:c r="E11" s="104" t="str">
        <x:v>public market equity value</x:v>
      </x:c>
      <x:c r="F11" s="94" t="str">
        <x:v>106.39</x:v>
      </x:c>
      <x:c r="G11" s="94" t="str">
        <x:v>2.1679</x:v>
      </x:c>
      <x:c r="H11" s="95" t="str">
        <x:v>USD</x:v>
      </x:c>
      <x:c r="I11" s="108" t="str">
        <x:v>FY2025 revenue</x:v>
      </x:c>
      <x:c r="J11" s="96" t="str">
        <x:v>0</x:v>
      </x:c>
      <x:c r="K11" s="104" t="str">
        <x:v>https://www.tipranks.com/stocks/net/market-cap</x:v>
      </x:c>
      <x:c r="L11" s="104" t="str">
        <x:v>https://www.cloudflare.com/press/press-releases/2026/cloudflare-announces-fourth-quarter-and-fiscal-year-2025-financial-results/</x:v>
      </x:c>
      <x:c r="M11" s="104" t="str">
        <x:v>Connectivity and inference-infrastructure reference; economics differ from a model laboratory.</x:v>
      </x:c>
      <x:c r="N11" s="100" t="n">
        <x:f>F11/G11</x:f>
        <x:v>49.0751418423359</x:v>
      </x:c>
    </x:row>
    <x:row r="12" ht="46" customHeight="1">
      <x:c r="A12" s="68" t="str">
        <x:v>Snowflake</x:v>
      </x:c>
      <x:c r="B12" s="68" t="str">
        <x:v>SNOW</x:v>
      </x:c>
      <x:c r="C12" s="68" t="str">
        <x:v>commercialization_reference</x:v>
      </x:c>
      <x:c r="D12" s="84" t="str">
        <x:v>2026-08-28</x:v>
      </x:c>
      <x:c r="E12" s="104" t="str">
        <x:v>public market equity value</x:v>
      </x:c>
      <x:c r="F12" s="94" t="str">
        <x:v>113.685</x:v>
      </x:c>
      <x:c r="G12" s="94" t="str">
        <x:v>4.683946</x:v>
      </x:c>
      <x:c r="H12" s="95" t="str">
        <x:v>USD</x:v>
      </x:c>
      <x:c r="I12" s="108" t="str">
        <x:v>FY2026 revenue</x:v>
      </x:c>
      <x:c r="J12" s="96" t="str">
        <x:v>0</x:v>
      </x:c>
      <x:c r="K12" s="104" t="str">
        <x:v>https://finance.yahoo.com/quote/SNOW/</x:v>
      </x:c>
      <x:c r="L12" s="104" t="str">
        <x:v>https://www.sec.gov/Archives/edgar/data/1640147/000164014726000023/snowflake2026ars.pdf</x:v>
      </x:c>
      <x:c r="M12" s="104" t="str">
        <x:v>Data-cloud commercialization reference; not a direct foundation-model comparable.</x:v>
      </x:c>
      <x:c r="N12" s="100" t="n">
        <x:f>F12/G12</x:f>
        <x:v>24.271202101817572</x:v>
      </x:c>
    </x:row>
  </x:sheetData>
  <x:pageMargins left="0.7" right="0.7" top="0.75" bottom="0.75" header="0.3" footer="0.3"/>
</x:worksheet>
</file>