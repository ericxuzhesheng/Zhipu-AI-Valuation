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18f37bb0b34d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9f3e8c091f774283"/>
    <x:sheet xmlns:r="http://schemas.openxmlformats.org/officeDocument/2006/relationships" name="Bear" sheetId="2" r:id="R2b9690ca93574edc"/>
    <x:sheet xmlns:r="http://schemas.openxmlformats.org/officeDocument/2006/relationships" name="Base" sheetId="3" r:id="Rdf23ff86ba1b4a7c"/>
    <x:sheet xmlns:r="http://schemas.openxmlformats.org/officeDocument/2006/relationships" name="Bull" sheetId="4" r:id="Rce38106d405044e8"/>
    <x:sheet xmlns:r="http://schemas.openxmlformats.org/officeDocument/2006/relationships" name="Summary" sheetId="5" r:id="R1fe4655150494bd3"/>
    <x:sheet xmlns:r="http://schemas.openxmlformats.org/officeDocument/2006/relationships" name="Valuation Comps" sheetId="6" r:id="R94a377fc69c7414a"/>
    <x:sheet xmlns:r="http://schemas.openxmlformats.org/officeDocument/2006/relationships" name="Audit Summary" sheetId="7" r:id="R13ab7e9d98d7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0" fontId="2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3" fillId="9" borderId="2" xfId="0" applyNumberFormat="1" applyFont="1" applyFill="1" applyBorder="1" applyAlignment="1">
      <x:alignment vertical="center"/>
    </x:xf>
    <x:xf numFmtId="0" fontId="4" fillId="10" borderId="2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10" borderId="1" xfId="0" applyNumberFormat="1" applyFont="1" applyFill="1" applyBorder="1" applyAlignment="1">
      <x:alignment horizontal="center" vertical="center"/>
    </x:xf>
    <x:xf numFmtId="0" fontId="5" fillId="11" borderId="1" xfId="0" applyNumberFormat="1" applyFont="1" applyFill="1" applyBorder="1" applyAlignment="1">
      <x:alignment vertical="center"/>
    </x:xf>
    <x:xf numFmtId="202" fontId="5" fillId="11" borderId="1" xfId="0" applyNumberFormat="1" applyFont="1" applyFill="1" applyBorder="1" applyAlignment="1">
      <x:alignment vertical="center"/>
    </x:xf>
    <x:xf numFmtId="0" fontId="5" fillId="11" borderId="3" xfId="0" applyNumberFormat="1" applyFont="1" applyFill="1" applyBorder="1" applyAlignment="1">
      <x:alignment vertical="center"/>
    </x:xf>
    <x:xf numFmtId="202" fontId="5" fillId="11" borderId="3" xfId="0" applyNumberFormat="1" applyFont="1" applyFill="1" applyBorder="1" applyAlignment="1">
      <x:alignment vertical="center"/>
    </x:xf>
    <x:xf numFmtId="0" fontId="2" fillId="9" borderId="1" xfId="0" applyNumberFormat="1" applyFont="1" applyFill="1" applyBorder="1" applyAlignment="1">
      <x:alignment horizontal="center" vertical="center" wrapText="1"/>
    </x:xf>
    <x:xf numFmtId="0" fontId="6" fillId="12" borderId="1" xfId="0" applyNumberFormat="1" applyFont="1" applyFill="1" applyBorder="1" applyAlignment="1">
      <x:alignment vertical="center"/>
    </x:xf>
    <x:xf numFmtId="0" fontId="6" fillId="12" borderId="1" xfId="0" applyNumberFormat="1" applyFont="1" applyFill="1" applyBorder="1" applyAlignment="1">
      <x:alignment vertical="center" wrapText="1"/>
    </x:xf>
    <x:xf numFmtId="205" fontId="6" fillId="12" borderId="1" xfId="0" applyNumberFormat="1" applyFont="1" applyFill="1" applyBorder="1" applyAlignment="1">
      <x:alignment vertical="center"/>
    </x:xf>
    <x:xf numFmtId="204" fontId="6" fillId="12" borderId="1" xfId="0" applyNumberFormat="1" applyFont="1" applyFill="1" applyBorder="1" applyAlignment="1">
      <x:alignment vertical="center"/>
    </x:xf>
    <x:xf numFmtId="0" fontId="0" fillId="13" borderId="1" xfId="0" applyNumberFormat="1" applyFont="1" applyFill="1" applyBorder="1" applyAlignment="1">
      <x:alignment vertical="center"/>
    </x:xf>
    <x:xf numFmtId="0" fontId="0" fillId="13" borderId="1" xfId="0" applyNumberFormat="1" applyFont="1" applyFill="1" applyBorder="1" applyAlignment="1">
      <x:alignment vertical="center" wrapText="1"/>
    </x:xf>
    <x:xf numFmtId="205" fontId="0" fillId="13" borderId="1" xfId="0" applyNumberFormat="1" applyFont="1" applyFill="1" applyBorder="1" applyAlignment="1">
      <x:alignment vertical="center"/>
    </x:xf>
    <x:xf numFmtId="204" fontId="0" fillId="13" borderId="1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 wrapText="1"/>
    </x:xf>
    <x:xf numFmtId="205" fontId="0" fillId="14" borderId="1" xfId="0" applyNumberFormat="1" applyFont="1" applyFill="1" applyBorder="1" applyAlignment="1">
      <x:alignment vertical="center"/>
    </x:xf>
    <x:xf numFmtId="204" fontId="0" fillId="14" borderId="1" xfId="0" applyNumberFormat="1" applyFont="1" applyFill="1" applyBorder="1" applyAlignment="1">
      <x:alignment vertical="center"/>
    </x:xf>
    <x:xf numFmtId="0" fontId="0" fillId="11" borderId="1" xfId="0" applyNumberFormat="1" applyFont="1" applyFill="1" applyBorder="1" applyAlignment="1">
      <x:alignment vertical="center"/>
    </x:xf>
    <x:xf numFmtId="0" fontId="0" fillId="11" borderId="1" xfId="0" applyNumberFormat="1" applyFont="1" applyFill="1" applyBorder="1" applyAlignment="1">
      <x:alignment vertical="center" wrapText="1"/>
    </x:xf>
    <x:xf numFmtId="205" fontId="0" fillId="11" borderId="1" xfId="0" applyNumberFormat="1" applyFont="1" applyFill="1" applyBorder="1" applyAlignment="1">
      <x:alignment vertical="center"/>
    </x:xf>
    <x:xf numFmtId="204" fontId="0" fillId="11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5" fillId="10" borderId="1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09e5e027a246ff" /><Relationship Type="http://schemas.openxmlformats.org/officeDocument/2006/relationships/theme" Target="/xl/theme/theme1.xml" Id="R6d08d074eaeb42bd" /><Relationship Type="http://schemas.openxmlformats.org/officeDocument/2006/relationships/sharedStrings" Target="/xl/sharedStrings.xml" Id="R3e793b4aa8d6479e" /><Relationship Type="http://schemas.openxmlformats.org/officeDocument/2006/relationships/worksheet" Target="/xl/worksheets/sheet1.xml" Id="R9f3e8c091f774283" /><Relationship Type="http://schemas.openxmlformats.org/officeDocument/2006/relationships/worksheet" Target="/xl/worksheets/sheet2.xml" Id="R2b9690ca93574edc" /><Relationship Type="http://schemas.openxmlformats.org/officeDocument/2006/relationships/worksheet" Target="/xl/worksheets/sheet3.xml" Id="Rdf23ff86ba1b4a7c" /><Relationship Type="http://schemas.openxmlformats.org/officeDocument/2006/relationships/worksheet" Target="/xl/worksheets/sheet4.xml" Id="Rce38106d405044e8" /><Relationship Type="http://schemas.openxmlformats.org/officeDocument/2006/relationships/worksheet" Target="/xl/worksheets/sheet5.xml" Id="R1fe4655150494bd3" /><Relationship Type="http://schemas.openxmlformats.org/officeDocument/2006/relationships/worksheet" Target="/xl/worksheets/sheet6.xml" Id="R94a377fc69c7414a" /><Relationship Type="http://schemas.openxmlformats.org/officeDocument/2006/relationships/worksheet" Target="/xl/worksheets/sheet7.xml" Id="R13ab7e9d98d74fa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59" t="inlineStr">
        <x:is>
          <x:t xml:space="preserve">GLOBAL ASSUMPTIONS</x:t>
        </x:is>
      </x:c>
      <x:c r="B1" s="60"/>
      <x:c r="C1" s="6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465.62309</x:v>
      </x:c>
      <x:c r="C5" s="11"/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v>4289.424135066811</x:v>
      </x:c>
      <x:c r="C7" s="11" t="inlineStr">
        <x:is>
          <x:t xml:space="preserve">2026-06-30 cash + short-term FVPL investments less bank loans and leases, plus July placement net proceeds; not a reported 2026-08-31 cash balance</x:t>
        </x:is>
      </x:c>
    </x:row>
    <x:row r="8">
      <x:c r="A8" s="6" t="inlineStr">
        <x:is>
          <x:t xml:space="preserve">Market date</x:t>
        </x:is>
      </x:c>
      <x:c r="B8" s="14" t="inlineStr">
        <x:is>
          <x:t xml:space="preserve">2026-08-31</x:t>
        </x:is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1195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2026H1 revenue (RMB m)</x:t>
        </x:is>
      </x:c>
      <x:c r="B12" s="14" t="n">
        <x:v>953.8920000000001</x:v>
      </x:c>
      <x:c r="C12" s="11" t="inlineStr">
        <x:is>
          <x:t xml:space="preserve">unaudited; reviewed by KPMG</x:t>
        </x:is>
      </x:c>
    </x:row>
    <x:row r="13">
      <x:c r="A13" s="6" t="inlineStr">
        <x:is>
          <x:t xml:space="preserve">2026H1 total gross margin</x:t>
        </x:is>
      </x:c>
      <x:c r="B13" s="12" t="n">
        <x:v>0.2637730476825468</x:v>
      </x:c>
      <x:c r="C13" s="11"/>
    </x:row>
    <x:row r="14">
      <x:c r="A14" s="6" t="inlineStr">
        <x:is>
          <x:t xml:space="preserve">2026H1 API revenue share</x:t>
        </x:is>
      </x:c>
      <x:c r="B14" s="12" t="n">
        <x:v>0.8650622921672474</x:v>
      </x:c>
      <x:c r="C14" s="11"/>
    </x:row>
    <x:row r="15">
      <x:c r="A15" s="6" t="inlineStr">
        <x:is>
          <x:t xml:space="preserve">2026H1 API gross margin</x:t>
        </x:is>
      </x:c>
      <x:c r="B15" s="12" t="n">
        <x:v>0.2458517940415136</x:v>
      </x:c>
      <x:c r="C15" s="11"/>
    </x:row>
    <x:row r="16">
      <x:c r="A16" s="6" t="inlineStr">
        <x:is>
          <x:t xml:space="preserve">2026H1 operating margin</x:t>
        </x:is>
      </x:c>
      <x:c r="B16" s="12" t="n">
        <x:v>-2.250309259329148</x:v>
      </x:c>
      <x:c r="C16" s="11"/>
    </x:row>
    <x:row r="17">
      <x:c r="A17" s="6" t="inlineStr">
        <x:is>
          <x:t xml:space="preserve">2026E operating margin</x:t>
        </x:is>
      </x:c>
      <x:c r="B17" s="12" t="n">
        <x:v>-1</x:v>
      </x:c>
      <x:c r="C17" s="11" t="inlineStr">
        <x:is>
          <x:t xml:space="preserve">model assumption; H1 actual shown above</x:t>
        </x:is>
      </x:c>
    </x:row>
    <x:row r="18">
      <x:c r="A18" s="6" t="inlineStr">
        <x:is>
          <x:t xml:space="preserve">2026H1 adjusted net loss (RMB m)</x:t>
        </x:is>
      </x:c>
      <x:c r="B18" s="14" t="n">
        <x:v>1964.138</x:v>
      </x:c>
      <x:c r="C18" s="11"/>
    </x:row>
    <x:row r="19">
      <x:c r="A19" s="6" t="inlineStr">
        <x:is>
          <x:t xml:space="preserve">2026-06-30 cash + ST investments (RMB m)</x:t>
        </x:is>
      </x:c>
      <x:c r="B19" s="14" t="n">
        <x:v>4499.861</x:v>
      </x:c>
      <x:c r="C19" s="11"/>
    </x:row>
    <x:row r="20">
      <x:c r="A20" s="6" t="inlineStr">
        <x:is>
          <x:t xml:space="preserve">2026-06-30 bank loans + leases (RMB m)</x:t>
        </x:is>
      </x:c>
      <x:c r="B20" s="14" t="n">
        <x:v>2604.199</x:v>
      </x:c>
      <x:c r="C20" s="11"/>
    </x:row>
    <x:row r="21">
      <x:c r="A21" s="6" t="inlineStr">
        <x:is>
          <x:t xml:space="preserve">July placement net proceeds (HKD m)</x:t>
        </x:is>
      </x:c>
      <x:c r="B21" s="14" t="n">
        <x:v>31374.95</x:v>
      </x:c>
      <x:c r="C21" s="11"/>
    </x:row>
    <x:row r="22" ht="36" customHeight="1">
      <x:c r="A22" s="6" t="inlineStr">
        <x:is>
          <x:t xml:space="preserve">2026H1 operating cash flow</x:t>
        </x:is>
      </x:c>
      <x:c r="B22" s="6" t="inlineStr">
        <x:is>
          <x:t xml:space="preserve">Not disclosed</x:t>
        </x:is>
      </x:c>
      <x:c r="C22" s="11" t="inlineStr">
        <x:is>
          <x:t xml:space="preserve">interim results announcement did not include a cash-flow statement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62" t="inlineStr">
        <x:is>
          <x:t xml:space="preserve">DCF - Bear scenario</x:t>
        </x:is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63" t="inlineStr">
        <x:is>
          <x:t xml:space="preserve">Year</x:t>
        </x:is>
      </x:c>
      <x:c r="B8" s="63" t="inlineStr">
        <x:is>
          <x:t xml:space="preserve">i</x:t>
        </x:is>
      </x:c>
      <x:c r="C8" s="63" t="inlineStr">
        <x:is>
          <x:t xml:space="preserve">growth</x:t>
        </x:is>
      </x:c>
      <x:c r="D8" s="63" t="inlineStr">
        <x:is>
          <x:t xml:space="preserve">revenue</x:t>
        </x:is>
      </x:c>
      <x:c r="E8" s="63" t="inlineStr">
        <x:is>
          <x:t xml:space="preserve">op margin</x:t>
        </x:is>
      </x:c>
      <x:c r="F8" s="63" t="inlineStr">
        <x:is>
          <x:t xml:space="preserve">EBIT</x:t>
        </x:is>
      </x:c>
      <x:c r="G8" s="63" t="inlineStr">
        <x:is>
          <x:t xml:space="preserve">cash tax</x:t>
        </x:is>
      </x:c>
      <x:c r="H8" s="63" t="inlineStr">
        <x:is>
          <x:t xml:space="preserve">NOL end</x:t>
        </x:is>
      </x:c>
      <x:c r="I8" s="63" t="inlineStr">
        <x:is>
          <x:t xml:space="preserve">NOPAT</x:t>
        </x:is>
      </x:c>
      <x:c r="J8" s="63" t="inlineStr">
        <x:is>
          <x:t xml:space="preserve">dRev</x:t>
        </x:is>
      </x:c>
      <x:c r="K8" s="63" t="inlineStr">
        <x:is>
          <x:t xml:space="preserve">reinvest</x:t>
        </x:is>
      </x:c>
      <x:c r="L8" s="63" t="inlineStr">
        <x:is>
          <x:t xml:space="preserve">FCFF</x:t>
        </x:is>
      </x:c>
      <x:c r="M8" s="63" t="inlineStr">
        <x:is>
          <x:t xml:space="preserve">disc</x:t>
        </x:is>
      </x:c>
      <x:c r="N8" s="6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1470.5938252172482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3.1583352647250553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24.63501506485543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62" t="inlineStr">
        <x:is>
          <x:t xml:space="preserve">DCF - Base scenario</x:t>
        </x:is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63" t="inlineStr">
        <x:is>
          <x:t xml:space="preserve">Year</x:t>
        </x:is>
      </x:c>
      <x:c r="B8" s="63" t="inlineStr">
        <x:is>
          <x:t xml:space="preserve">i</x:t>
        </x:is>
      </x:c>
      <x:c r="C8" s="63" t="inlineStr">
        <x:is>
          <x:t xml:space="preserve">growth</x:t>
        </x:is>
      </x:c>
      <x:c r="D8" s="63" t="inlineStr">
        <x:is>
          <x:t xml:space="preserve">revenue</x:t>
        </x:is>
      </x:c>
      <x:c r="E8" s="63" t="inlineStr">
        <x:is>
          <x:t xml:space="preserve">op margin</x:t>
        </x:is>
      </x:c>
      <x:c r="F8" s="63" t="inlineStr">
        <x:is>
          <x:t xml:space="preserve">EBIT</x:t>
        </x:is>
      </x:c>
      <x:c r="G8" s="63" t="inlineStr">
        <x:is>
          <x:t xml:space="preserve">cash tax</x:t>
        </x:is>
      </x:c>
      <x:c r="H8" s="63" t="inlineStr">
        <x:is>
          <x:t xml:space="preserve">NOL end</x:t>
        </x:is>
      </x:c>
      <x:c r="I8" s="63" t="inlineStr">
        <x:is>
          <x:t xml:space="preserve">NOPAT</x:t>
        </x:is>
      </x:c>
      <x:c r="J8" s="63" t="inlineStr">
        <x:is>
          <x:t xml:space="preserve">dRev</x:t>
        </x:is>
      </x:c>
      <x:c r="K8" s="63" t="inlineStr">
        <x:is>
          <x:t xml:space="preserve">reinvest</x:t>
        </x:is>
      </x:c>
      <x:c r="L8" s="63" t="inlineStr">
        <x:is>
          <x:t xml:space="preserve">FCFF</x:t>
        </x:is>
      </x:c>
      <x:c r="M8" s="63" t="inlineStr">
        <x:is>
          <x:t xml:space="preserve">disc</x:t>
        </x:is>
      </x:c>
      <x:c r="N8" s="6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4344.218166227473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9.329902789458902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72.77324175777943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62" t="inlineStr">
        <x:is>
          <x:t xml:space="preserve">DCF - Bull scenario</x:t>
        </x:is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63" t="inlineStr">
        <x:is>
          <x:t xml:space="preserve">Year</x:t>
        </x:is>
      </x:c>
      <x:c r="B8" s="63" t="inlineStr">
        <x:is>
          <x:t xml:space="preserve">i</x:t>
        </x:is>
      </x:c>
      <x:c r="C8" s="63" t="inlineStr">
        <x:is>
          <x:t xml:space="preserve">growth</x:t>
        </x:is>
      </x:c>
      <x:c r="D8" s="63" t="inlineStr">
        <x:is>
          <x:t xml:space="preserve">revenue</x:t>
        </x:is>
      </x:c>
      <x:c r="E8" s="63" t="inlineStr">
        <x:is>
          <x:t xml:space="preserve">op margin</x:t>
        </x:is>
      </x:c>
      <x:c r="F8" s="63" t="inlineStr">
        <x:is>
          <x:t xml:space="preserve">EBIT</x:t>
        </x:is>
      </x:c>
      <x:c r="G8" s="63" t="inlineStr">
        <x:is>
          <x:t xml:space="preserve">cash tax</x:t>
        </x:is>
      </x:c>
      <x:c r="H8" s="63" t="inlineStr">
        <x:is>
          <x:t xml:space="preserve">NOL end</x:t>
        </x:is>
      </x:c>
      <x:c r="I8" s="63" t="inlineStr">
        <x:is>
          <x:t xml:space="preserve">NOPAT</x:t>
        </x:is>
      </x:c>
      <x:c r="J8" s="63" t="inlineStr">
        <x:is>
          <x:t xml:space="preserve">dRev</x:t>
        </x:is>
      </x:c>
      <x:c r="K8" s="63" t="inlineStr">
        <x:is>
          <x:t xml:space="preserve">reinvest</x:t>
        </x:is>
      </x:c>
      <x:c r="L8" s="63" t="inlineStr">
        <x:is>
          <x:t xml:space="preserve">FCFF</x:t>
        </x:is>
      </x:c>
      <x:c r="M8" s="63" t="inlineStr">
        <x:is>
          <x:t xml:space="preserve">disc</x:t>
        </x:is>
      </x:c>
      <x:c r="N8" s="6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13914.108724407311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29.882772188997997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233.08562307418438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60" t="inlineStr">
        <x:is>
          <x:t xml:space="preserve">VALUATION SUMMARY</x:t>
        </x:is>
      </x:c>
      <x:c r="B1" s="60"/>
      <x:c r="C1" s="60"/>
      <x:c r="D1" s="60"/>
    </x:row>
    <x:row r="2">
      <x:c r="A2" s="65" t="inlineStr">
        <x:is>
          <x:t xml:space="preserve">Scenario</x:t>
        </x:is>
      </x:c>
      <x:c r="B2" s="65" t="inlineStr">
        <x:is>
          <x:t xml:space="preserve">Prob</x:t>
        </x:is>
      </x:c>
      <x:c r="C2" s="65" t="inlineStr">
        <x:is>
          <x:t xml:space="preserve">Equity (US$m)</x:t>
        </x:is>
      </x:c>
      <x:c r="D2" s="65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1470.5938252172482</x:v>
      </x:c>
      <x:c r="D3" s="14" t="n">
        <x:f>Bear!B26</x:f>
        <x:v>24.63501506485543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4344.218166227473</x:v>
      </x:c>
      <x:c r="D4" s="14" t="n">
        <x:f>Base!B26</x:f>
        <x:v>72.77324175777943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13914.108724407311</x:v>
      </x:c>
      <x:c r="D5" s="14" t="n">
        <x:f>Bull!B26</x:f>
        <x:v>233.08562307418438</x:v>
      </x:c>
    </x:row>
    <x:row r="6">
      <x:c r="A6" s="68" t="inlineStr">
        <x:is>
          <x:t xml:space="preserve">PROB-WEIGHTED</x:t>
        </x:is>
      </x:c>
      <x:c r="B6" s="68"/>
      <x:c r="C6" s="69" t="n">
        <x:f>SUMPRODUCT(B3:B5,C3:C5)/SUM(B3:B5)</x:f>
        <x:v>5252.4277585098625</x:v>
      </x:c>
      <x:c r="D6" s="69" t="n">
        <x:f>SUMPRODUCT(B3:B5,D3:D5)/SUM(B3:B5)</x:f>
        <x:v>87.98733867853703</x:v>
      </x:c>
    </x:row>
    <x:row r="7">
      <x:c r="A7" s="6" t="inlineStr">
        <x:is>
          <x:t xml:space="preserve">Market price (HK$)</x:t>
        </x:is>
      </x:c>
      <x:c r="B7" s="14" t="n">
        <x:f>Assumptions!B9</x:f>
        <x:v>1195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0.07362957211593056</x:v>
      </x:c>
      <x:c r="C8" s="6"/>
      <x:c r="D8" s="6"/>
    </x:row>
    <x:row r="9">
      <x:c r="A9" s="6" t="inlineStr">
        <x:is>
          <x:t xml:space="preserve">Market equity value / revenue</x:t>
        </x:is>
      </x:c>
      <x:c r="B9" s="31" t="n">
        <x:f>(Assumptions!B9*Assumptions!B5/Assumptions!B6)/Assumptions!B11</x:f>
        <x:v>101.90835028388278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70" t="inlineStr">
        <x:is>
          <x:t xml:space="preserve">Company</x:t>
        </x:is>
      </x:c>
      <x:c r="B1" s="70" t="inlineStr">
        <x:is>
          <x:t xml:space="preserve">Ticker</x:t>
        </x:is>
      </x:c>
      <x:c r="C1" s="70" t="inlineStr">
        <x:is>
          <x:t xml:space="preserve">Cohort</x:t>
        </x:is>
      </x:c>
      <x:c r="D1" s="70" t="inlineStr">
        <x:is>
          <x:t xml:space="preserve">Valuation date</x:t>
        </x:is>
      </x:c>
      <x:c r="E1" s="70" t="inlineStr">
        <x:is>
          <x:t xml:space="preserve">Valuation basis</x:t>
        </x:is>
      </x:c>
      <x:c r="F1" s="70" t="inlineStr">
        <x:is>
          <x:t xml:space="preserve">Equity value (bn)</x:t>
        </x:is>
      </x:c>
      <x:c r="G1" s="70" t="inlineStr">
        <x:is>
          <x:t xml:space="preserve">Revenue (bn)</x:t>
        </x:is>
      </x:c>
      <x:c r="H1" s="70" t="inlineStr">
        <x:is>
          <x:t xml:space="preserve">Currency</x:t>
        </x:is>
      </x:c>
      <x:c r="I1" s="70" t="inlineStr">
        <x:is>
          <x:t xml:space="preserve">Revenue basis</x:t>
        </x:is>
      </x:c>
      <x:c r="J1" s="70" t="inlineStr">
        <x:is>
          <x:t xml:space="preserve">Private range flag</x:t>
        </x:is>
      </x:c>
      <x:c r="K1" s="70" t="inlineStr">
        <x:is>
          <x:t xml:space="preserve">Valuation source</x:t>
        </x:is>
      </x:c>
      <x:c r="L1" s="70" t="inlineStr">
        <x:is>
          <x:t xml:space="preserve">Revenue source</x:t>
        </x:is>
      </x:c>
      <x:c r="M1" s="70" t="inlineStr">
        <x:is>
          <x:t xml:space="preserve">Comparability note</x:t>
        </x:is>
      </x:c>
      <x:c r="N1" s="70" t="inlineStr">
        <x:is>
          <x:t xml:space="preserve">Equity value / revenue (x)</x:t>
        </x:is>
      </x:c>
    </x:row>
    <x:row r="2" ht="48" customHeight="1">
      <x:c r="A2" s="71" t="inlineStr">
        <x:is>
          <x:t xml:space="preserve">Zhipu</x:t>
        </x:is>
      </x:c>
      <x:c r="B2" s="71" t="inlineStr">
        <x:is>
          <x:t xml:space="preserve">02513.HK</x:t>
        </x:is>
      </x:c>
      <x:c r="C2" s="71" t="inlineStr">
        <x:is>
          <x:t xml:space="preserve">core_frontier</x:t>
        </x:is>
      </x:c>
      <x:c r="D2" s="71" t="inlineStr">
        <x:is>
          <x:t xml:space="preserve">2026-08-31</x:t>
        </x:is>
      </x:c>
      <x:c r="E2" s="72" t="inlineStr">
        <x:is>
          <x:t xml:space="preserve">public market equity value</x:t>
        </x:is>
      </x:c>
      <x:c r="F2" s="73" t="n">
        <x:v>71.33584519871795</x:v>
      </x:c>
      <x:c r="G2" s="73" t="n">
        <x:v>0.7</x:v>
      </x:c>
      <x:c r="H2" s="71" t="inlineStr">
        <x:is>
          <x:t xml:space="preserve">USD</x:t>
        </x:is>
      </x:c>
      <x:c r="I2" s="72" t="inlineStr">
        <x:is>
          <x:t xml:space="preserve">FY2026E model estimate anchored to H1 actual and August run-rate</x:t>
        </x:is>
      </x:c>
      <x:c r="J2" s="71" t="n">
        <x:v>0</x:v>
      </x:c>
      <x:c r="K2" s="72" t="inlineStr">
        <x:is>
          <x:t xml:space="preserve">https://www.hkex.com.hk/chi/stat/smstat/dayquot/d260831c.htm</x:t>
        </x:is>
      </x:c>
      <x:c r="L2" s="72" t="inlineStr">
        <x:is>
          <x:t xml:space="preserve">https://www1.hkexnews.hk/listedco/listconews/sehk/2026/0831/2026083101539.pdf</x:t>
        </x:is>
      </x:c>
      <x:c r="M2" s="72" t="inlineStr">
        <x:is>
          <x:t xml:space="preserve">Subject company; equity value is refreshed from the local market file and post-placement share count; revenue is a model estimate rather than company guidance.</x:t>
        </x:is>
      </x:c>
      <x:c r="N2" s="74" t="n">
        <x:f>F2/G2</x:f>
        <x:v>101.90835028388278</x:v>
      </x:c>
    </x:row>
    <x:row r="3" ht="48" customHeight="1">
      <x:c r="A3" s="75" t="inlineStr">
        <x:is>
          <x:t xml:space="preserve">MiniMax</x:t>
        </x:is>
      </x:c>
      <x:c r="B3" s="75" t="inlineStr">
        <x:is>
          <x:t xml:space="preserve">00100.HK</x:t>
        </x:is>
      </x:c>
      <x:c r="C3" s="75" t="inlineStr">
        <x:is>
          <x:t xml:space="preserve">core_frontier</x:t>
        </x:is>
      </x:c>
      <x:c r="D3" s="75" t="inlineStr">
        <x:is>
          <x:t xml:space="preserve">2026-08-31</x:t>
        </x:is>
      </x:c>
      <x:c r="E3" s="76" t="inlineStr">
        <x:is>
          <x:t xml:space="preserve">public market equity value</x:t>
        </x:is>
      </x:c>
      <x:c r="F3" s="77" t="n">
        <x:v>15.626042</x:v>
      </x:c>
      <x:c r="G3" s="77" t="n">
        <x:v>0.165182</x:v>
      </x:c>
      <x:c r="H3" s="75" t="inlineStr">
        <x:is>
          <x:t xml:space="preserve">USD</x:t>
        </x:is>
      </x:c>
      <x:c r="I3" s="76" t="inlineStr">
        <x:is>
          <x:t xml:space="preserve">LTM through 2026H1</x:t>
        </x:is>
      </x:c>
      <x:c r="J3" s="75" t="n">
        <x:v>0</x:v>
      </x:c>
      <x:c r="K3" s="76" t="inlineStr">
        <x:is>
          <x:t xml:space="preserve">https://www.hkex.com.hk/chi/stat/smstat/dayquot/d260831c.htm</x:t>
        </x:is>
      </x:c>
      <x:c r="L3" s="76" t="inlineStr">
        <x:is>
          <x:t xml:space="preserve">https://www1.hkexnews.hk/listedco/listconews/sehk/2026/0826/2026082600680.pdf</x:t>
        </x:is>
      </x:c>
      <x:c r="M3" s="76" t="inlineStr">
        <x:is>
          <x:t xml:space="preserve">Closest listed foundation-model peer; public-market LTM multiple is shown separately from private transaction references.</x:t>
        </x:is>
      </x:c>
      <x:c r="N3" s="78" t="n">
        <x:f>F3/G3</x:f>
        <x:v>94.59893935174534</x:v>
      </x:c>
    </x:row>
    <x:row r="4" ht="48" customHeight="1">
      <x:c r="A4" s="75" t="inlineStr">
        <x:is>
          <x:t xml:space="preserve">OpenAI</x:t>
        </x:is>
      </x:c>
      <x:c r="B4" s="75" t="inlineStr">
        <x:is>
          <x:t xml:space="preserve">private</x:t>
        </x:is>
      </x:c>
      <x:c r="C4" s="75" t="inlineStr">
        <x:is>
          <x:t xml:space="preserve">core_frontier</x:t>
        </x:is>
      </x:c>
      <x:c r="D4" s="75" t="inlineStr">
        <x:is>
          <x:t xml:space="preserve">2026-03-31</x:t>
        </x:is>
      </x:c>
      <x:c r="E4" s="76" t="inlineStr">
        <x:is>
          <x:t xml:space="preserve">post-money financing</x:t>
        </x:is>
      </x:c>
      <x:c r="F4" s="77" t="n">
        <x:v>852</x:v>
      </x:c>
      <x:c r="G4" s="77" t="n">
        <x:v>25</x:v>
      </x:c>
      <x:c r="H4" s="75" t="inlineStr">
        <x:is>
          <x:t xml:space="preserve">USD</x:t>
        </x:is>
      </x:c>
      <x:c r="I4" s="76" t="inlineStr">
        <x:is>
          <x:t xml:space="preserve">annualized revenue at February 2026</x:t>
        </x:is>
      </x:c>
      <x:c r="J4" s="75" t="n">
        <x:v>1</x:v>
      </x:c>
      <x:c r="K4" s="76" t="inlineStr">
        <x:is>
          <x:t xml:space="preserve">https://openai.com/index/accelerating-the-next-phase-ai/</x:t>
        </x:is>
      </x:c>
      <x:c r="L4" s="76" t="inlineStr">
        <x:is>
          <x:t xml:space="preserve">https://finance.yahoo.com/news/openai-tops-25-billion-annualized-033836274.html</x:t>
        </x:is>
      </x:c>
      <x:c r="M4" s="76" t="inlineStr">
        <x:is>
          <x:t xml:space="preserve">Private frontier-lab transaction reference; revenue was reported by Reuters and was not independently verified.</x:t>
        </x:is>
      </x:c>
      <x:c r="N4" s="78" t="n">
        <x:f>F4/G4</x:f>
        <x:v>34.08</x:v>
      </x:c>
    </x:row>
    <x:row r="5" ht="48" customHeight="1">
      <x:c r="A5" s="75" t="inlineStr">
        <x:is>
          <x:t xml:space="preserve">Anthropic</x:t>
        </x:is>
      </x:c>
      <x:c r="B5" s="75" t="inlineStr">
        <x:is>
          <x:t xml:space="preserve">private</x:t>
        </x:is>
      </x:c>
      <x:c r="C5" s="75" t="inlineStr">
        <x:is>
          <x:t xml:space="preserve">core_frontier</x:t>
        </x:is>
      </x:c>
      <x:c r="D5" s="75" t="inlineStr">
        <x:is>
          <x:t xml:space="preserve">2026-05-28</x:t>
        </x:is>
      </x:c>
      <x:c r="E5" s="76" t="inlineStr">
        <x:is>
          <x:t xml:space="preserve">post-money financing</x:t>
        </x:is>
      </x:c>
      <x:c r="F5" s="77" t="n">
        <x:v>965</x:v>
      </x:c>
      <x:c r="G5" s="77" t="n">
        <x:v>47</x:v>
      </x:c>
      <x:c r="H5" s="75" t="inlineStr">
        <x:is>
          <x:t xml:space="preserve">USD</x:t>
        </x:is>
      </x:c>
      <x:c r="I5" s="76" t="inlineStr">
        <x:is>
          <x:t xml:space="preserve">annualized revenue at May 2026</x:t>
        </x:is>
      </x:c>
      <x:c r="J5" s="75" t="n">
        <x:v>1</x:v>
      </x:c>
      <x:c r="K5" s="76" t="inlineStr">
        <x:is>
          <x:t xml:space="preserve">https://www.anthropic.com/news/series-h</x:t>
        </x:is>
      </x:c>
      <x:c r="L5" s="76" t="inlineStr">
        <x:is>
          <x:t xml:space="preserve">https://www.anthropic.com/news/series-h</x:t>
        </x:is>
      </x:c>
      <x:c r="M5" s="76" t="inlineStr">
        <x:is>
          <x:t xml:space="preserve">Private frontier-lab transaction reference with valuation and revenue disclosed together by the company.</x:t>
        </x:is>
      </x:c>
      <x:c r="N5" s="78" t="n">
        <x:f>F5/G5</x:f>
        <x:v>20.53191489361702</x:v>
      </x:c>
    </x:row>
    <x:row r="6" ht="48" customHeight="1">
      <x:c r="A6" s="75" t="inlineStr">
        <x:is>
          <x:t xml:space="preserve">Mistral</x:t>
        </x:is>
      </x:c>
      <x:c r="B6" s="75" t="inlineStr">
        <x:is>
          <x:t xml:space="preserve">private</x:t>
        </x:is>
      </x:c>
      <x:c r="C6" s="75" t="inlineStr">
        <x:is>
          <x:t xml:space="preserve">core_frontier</x:t>
        </x:is>
      </x:c>
      <x:c r="D6" s="75" t="inlineStr">
        <x:is>
          <x:t xml:space="preserve">2025-09-09</x:t>
        </x:is>
      </x:c>
      <x:c r="E6" s="76" t="inlineStr">
        <x:is>
          <x:t xml:space="preserve">post-money financing</x:t>
        </x:is>
      </x:c>
      <x:c r="F6" s="77" t="n">
        <x:v>11.7</x:v>
      </x:c>
      <x:c r="G6" s="77" t="n">
        <x:v>0.3</x:v>
      </x:c>
      <x:c r="H6" s="75" t="inlineStr">
        <x:is>
          <x:t xml:space="preserve">EUR</x:t>
        </x:is>
      </x:c>
      <x:c r="I6" s="76" t="inlineStr">
        <x:is>
          <x:t xml:space="preserve">annualized revenue at September 2025</x:t>
        </x:is>
      </x:c>
      <x:c r="J6" s="75" t="n">
        <x:v>1</x:v>
      </x:c>
      <x:c r="K6" s="76" t="inlineStr">
        <x:is>
          <x:t xml:space="preserve">https://mistral.ai/news/mistral-ai-raises-1-7-b-to-accelerate-technological-progress-with-ai/</x:t>
        </x:is>
      </x:c>
      <x:c r="L6" s="76" t="inlineStr">
        <x:is>
          <x:t xml:space="preserve">https://www.lemonde.fr/economie/article/2025/09/26/mistral-ai-incarnation-de-l-intelligence-artificielle_6643087_3234.html</x:t>
        </x:is>
      </x:c>
      <x:c r="M6" s="76" t="inlineStr">
        <x:is>
          <x:t xml:space="preserve">Older private frontier-lab reference; included in the private transaction range but dated separately.</x:t>
        </x:is>
      </x:c>
      <x:c r="N6" s="78" t="n">
        <x:f>F6/G6</x:f>
        <x:v>39</x:v>
      </x:c>
    </x:row>
    <x:row r="7" ht="48" customHeight="1">
      <x:c r="A7" s="79" t="inlineStr">
        <x:is>
          <x:t xml:space="preserve">SenseTime</x:t>
        </x:is>
      </x:c>
      <x:c r="B7" s="79" t="inlineStr">
        <x:is>
          <x:t xml:space="preserve">00020.HK</x:t>
        </x:is>
      </x:c>
      <x:c r="C7" s="79" t="inlineStr">
        <x:is>
          <x:t xml:space="preserve">hk_adjacent</x:t>
        </x:is>
      </x:c>
      <x:c r="D7" s="79" t="inlineStr">
        <x:is>
          <x:t xml:space="preserve">2026-08-31</x:t>
        </x:is>
      </x:c>
      <x:c r="E7" s="80" t="inlineStr">
        <x:is>
          <x:t xml:space="preserve">implied total equity value</x:t>
        </x:is>
      </x:c>
      <x:c r="F7" s="81" t="n">
        <x:v>52.58377</x:v>
      </x:c>
      <x:c r="G7" s="81" t="n">
        <x:v>5.567388</x:v>
      </x:c>
      <x:c r="H7" s="79" t="inlineStr">
        <x:is>
          <x:t xml:space="preserve">CNY</x:t>
        </x:is>
      </x:c>
      <x:c r="I7" s="80" t="inlineStr">
        <x:is>
          <x:t xml:space="preserve">LTM through 2026H1</x:t>
        </x:is>
      </x:c>
      <x:c r="J7" s="79" t="n">
        <x:v>0</x:v>
      </x:c>
      <x:c r="K7" s="80" t="inlineStr">
        <x:is>
          <x:t xml:space="preserve">https://www.hkex.com.hk/chi/stat/smstat/dayquot/d260831c.htm</x:t>
        </x:is>
      </x:c>
      <x:c r="L7" s="80" t="inlineStr">
        <x:is>
          <x:t xml:space="preserve">https://www1.hkexnews.hk/listedco/listconews/sehk/2026/0826/2026082600408.pdf</x:t>
        </x:is>
      </x:c>
      <x:c r="M7" s="80" t="inlineStr">
        <x:is>
          <x:t xml:space="preserve">Adjacent Hong Kong AI platform; mixed computer-vision generative-AI and solution revenue makes it contextual only.</x:t>
        </x:is>
      </x:c>
      <x:c r="N7" s="82" t="n">
        <x:f>F7/G7</x:f>
        <x:v>9.444962341406779</x:v>
      </x:c>
    </x:row>
    <x:row r="8" ht="48" customHeight="1">
      <x:c r="A8" s="79" t="inlineStr">
        <x:is>
          <x:t xml:space="preserve">Phancy</x:t>
        </x:is>
      </x:c>
      <x:c r="B8" s="79" t="inlineStr">
        <x:is>
          <x:t xml:space="preserve">06682.HK</x:t>
        </x:is>
      </x:c>
      <x:c r="C8" s="79" t="inlineStr">
        <x:is>
          <x:t xml:space="preserve">hk_adjacent</x:t>
        </x:is>
      </x:c>
      <x:c r="D8" s="79" t="inlineStr">
        <x:is>
          <x:t xml:space="preserve">2026-08-31</x:t>
        </x:is>
      </x:c>
      <x:c r="E8" s="80" t="inlineStr">
        <x:is>
          <x:t xml:space="preserve">implied total equity value</x:t>
        </x:is>
      </x:c>
      <x:c r="F8" s="81" t="n">
        <x:v>13.500771</x:v>
      </x:c>
      <x:c r="G8" s="81" t="n">
        <x:v>8.274082999999999</x:v>
      </x:c>
      <x:c r="H8" s="79" t="inlineStr">
        <x:is>
          <x:t xml:space="preserve">CNY</x:t>
        </x:is>
      </x:c>
      <x:c r="I8" s="80" t="inlineStr">
        <x:is>
          <x:t xml:space="preserve">LTM through 2026H1</x:t>
        </x:is>
      </x:c>
      <x:c r="J8" s="79" t="n">
        <x:v>0</x:v>
      </x:c>
      <x:c r="K8" s="80" t="inlineStr">
        <x:is>
          <x:t xml:space="preserve">https://www.hkex.com.hk/chi/stat/smstat/dayquot/d260831c.htm</x:t>
        </x:is>
      </x:c>
      <x:c r="L8" s="80" t="inlineStr">
        <x:is>
          <x:t xml:space="preserve">https://www1.hkexnews.hk/listedco/listconews/sehk/2026/0820/2026082000357.pdf</x:t>
        </x:is>
      </x:c>
      <x:c r="M8" s="80" t="inlineStr">
        <x:is>
          <x:t xml:space="preserve">Enterprise AI platform and agentic services with a different revenue and margin mix; contextual only.</x:t>
        </x:is>
      </x:c>
      <x:c r="N8" s="82" t="n">
        <x:f>F8/G8</x:f>
        <x:v>1.6316939291036845</x:v>
      </x:c>
    </x:row>
    <x:row r="9" ht="48" customHeight="1">
      <x:c r="A9" s="79" t="inlineStr">
        <x:is>
          <x:t xml:space="preserve">Wenge AI</x:t>
        </x:is>
      </x:c>
      <x:c r="B9" s="79" t="inlineStr">
        <x:is>
          <x:t xml:space="preserve">01956.HK</x:t>
        </x:is>
      </x:c>
      <x:c r="C9" s="79" t="inlineStr">
        <x:is>
          <x:t xml:space="preserve">hk_adjacent</x:t>
        </x:is>
      </x:c>
      <x:c r="D9" s="79" t="inlineStr">
        <x:is>
          <x:t xml:space="preserve">2026-08-31</x:t>
        </x:is>
      </x:c>
      <x:c r="E9" s="80" t="inlineStr">
        <x:is>
          <x:t xml:space="preserve">implied total equity value</x:t>
        </x:is>
      </x:c>
      <x:c r="F9" s="81" t="n">
        <x:v>12.976009</x:v>
      </x:c>
      <x:c r="G9" s="81" t="n">
        <x:v>0.459773</x:v>
      </x:c>
      <x:c r="H9" s="79" t="inlineStr">
        <x:is>
          <x:t xml:space="preserve">CNY</x:t>
        </x:is>
      </x:c>
      <x:c r="I9" s="80" t="inlineStr">
        <x:is>
          <x:t xml:space="preserve">LTM through 2026H1</x:t>
        </x:is>
      </x:c>
      <x:c r="J9" s="79" t="n">
        <x:v>0</x:v>
      </x:c>
      <x:c r="K9" s="80" t="inlineStr">
        <x:is>
          <x:t xml:space="preserve">https://www.hkex.com.hk/chi/stat/smstat/dayquot/d260831c.htm</x:t>
        </x:is>
      </x:c>
      <x:c r="L9" s="80" t="inlineStr">
        <x:is>
          <x:t xml:space="preserve">https://www1.hkexnews.hk/listedco/listconews/sehk/2026/0825/2026082500959.pdf</x:t>
        </x:is>
      </x:c>
      <x:c r="M9" s="80" t="inlineStr">
        <x:is>
          <x:t xml:space="preserve">Decision-intelligence and project-delivery model with a short trading history; contextual only.</x:t>
        </x:is>
      </x:c>
      <x:c r="N9" s="82" t="n">
        <x:f>F9/G9</x:f>
        <x:v>28.222642477918452</x:v>
      </x:c>
    </x:row>
    <x:row r="10" ht="48" customHeight="1">
      <x:c r="A10" s="83" t="inlineStr">
        <x:is>
          <x:t xml:space="preserve">Palantir</x:t>
        </x:is>
      </x:c>
      <x:c r="B10" s="83" t="inlineStr">
        <x:is>
          <x:t xml:space="preserve">PLTR</x:t>
        </x:is>
      </x:c>
      <x:c r="C10" s="83" t="inlineStr">
        <x:is>
          <x:t xml:space="preserve">commercialization_reference</x:t>
        </x:is>
      </x:c>
      <x:c r="D10" s="83" t="inlineStr">
        <x:is>
          <x:t xml:space="preserve">2026-08-31</x:t>
        </x:is>
      </x:c>
      <x:c r="E10" s="84" t="inlineStr">
        <x:is>
          <x:t xml:space="preserve">public market equity value</x:t>
        </x:is>
      </x:c>
      <x:c r="F10" s="85" t="n">
        <x:v>447.856263</x:v>
      </x:c>
      <x:c r="G10" s="85" t="n">
        <x:v>4.475446</x:v>
      </x:c>
      <x:c r="H10" s="83" t="inlineStr">
        <x:is>
          <x:t xml:space="preserve">USD</x:t>
        </x:is>
      </x:c>
      <x:c r="I10" s="84" t="inlineStr">
        <x:is>
          <x:t xml:space="preserve">FY2025 revenue</x:t>
        </x:is>
      </x:c>
      <x:c r="J10" s="83" t="n">
        <x:v>0</x:v>
      </x:c>
      <x:c r="K10" s="84" t="inlineStr">
        <x:is>
          <x:t xml:space="preserve">https://www.gurufocus.com/stock/PLTR/data/market-cap</x:t>
        </x:is>
      </x:c>
      <x:c r="L10" s="84" t="inlineStr">
        <x:is>
          <x:t xml:space="preserve">https://www.sec.gov/Archives/edgar/data/1321655/000132165526000011/pltr-20251231.htm</x:t>
        </x:is>
      </x:c>
      <x:c r="M10" s="84" t="inlineStr">
        <x:is>
          <x:t xml:space="preserve">Mature AI software commercialization reference; not a frontier-model laboratory.</x:t>
        </x:is>
      </x:c>
      <x:c r="N10" s="86" t="n">
        <x:f>F10/G10</x:f>
        <x:v>100.06963842262873</x:v>
      </x:c>
    </x:row>
    <x:row r="11" ht="48" customHeight="1">
      <x:c r="A11" s="83" t="inlineStr">
        <x:is>
          <x:t xml:space="preserve">Cloudflare</x:t>
        </x:is>
      </x:c>
      <x:c r="B11" s="83" t="inlineStr">
        <x:is>
          <x:t xml:space="preserve">NET</x:t>
        </x:is>
      </x:c>
      <x:c r="C11" s="83" t="inlineStr">
        <x:is>
          <x:t xml:space="preserve">commercialization_reference</x:t>
        </x:is>
      </x:c>
      <x:c r="D11" s="83" t="inlineStr">
        <x:is>
          <x:t xml:space="preserve">2026-08-31</x:t>
        </x:is>
      </x:c>
      <x:c r="E11" s="84" t="inlineStr">
        <x:is>
          <x:t xml:space="preserve">public market equity value</x:t>
        </x:is>
      </x:c>
      <x:c r="F11" s="85" t="n">
        <x:v>108.259915</x:v>
      </x:c>
      <x:c r="G11" s="85" t="n">
        <x:v>2.1679</x:v>
      </x:c>
      <x:c r="H11" s="83" t="inlineStr">
        <x:is>
          <x:t xml:space="preserve">USD</x:t>
        </x:is>
      </x:c>
      <x:c r="I11" s="84" t="inlineStr">
        <x:is>
          <x:t xml:space="preserve">FY2025 revenue</x:t>
        </x:is>
      </x:c>
      <x:c r="J11" s="83" t="n">
        <x:v>0</x:v>
      </x:c>
      <x:c r="K11" s="84" t="inlineStr">
        <x:is>
          <x:t xml:space="preserve">https://www.tipranks.com/stocks/net/market-cap</x:t>
        </x:is>
      </x:c>
      <x:c r="L11" s="84" t="inlineStr">
        <x:is>
          <x:t xml:space="preserve">https://www.cloudflare.com/press/press-releases/2026/cloudflare-announces-fourth-quarter-and-fiscal-year-2025-financial-results/</x:t>
        </x:is>
      </x:c>
      <x:c r="M11" s="84" t="inlineStr">
        <x:is>
          <x:t xml:space="preserve">Connectivity and inference-infrastructure reference; economics differ from a model laboratory.</x:t>
        </x:is>
      </x:c>
      <x:c r="N11" s="86" t="n">
        <x:f>F11/G11</x:f>
        <x:v>49.93768854651968</x:v>
      </x:c>
    </x:row>
    <x:row r="12" ht="48" customHeight="1">
      <x:c r="A12" s="83" t="inlineStr">
        <x:is>
          <x:t xml:space="preserve">Snowflake</x:t>
        </x:is>
      </x:c>
      <x:c r="B12" s="83" t="inlineStr">
        <x:is>
          <x:t xml:space="preserve">SNOW</x:t>
        </x:is>
      </x:c>
      <x:c r="C12" s="83" t="inlineStr">
        <x:is>
          <x:t xml:space="preserve">commercialization_reference</x:t>
        </x:is>
      </x:c>
      <x:c r="D12" s="83" t="inlineStr">
        <x:is>
          <x:t xml:space="preserve">2026-08-31</x:t>
        </x:is>
      </x:c>
      <x:c r="E12" s="84" t="inlineStr">
        <x:is>
          <x:t xml:space="preserve">public market equity value</x:t>
        </x:is>
      </x:c>
      <x:c r="F12" s="85" t="n">
        <x:v>114.87384</x:v>
      </x:c>
      <x:c r="G12" s="85" t="n">
        <x:v>4.683946</x:v>
      </x:c>
      <x:c r="H12" s="83" t="inlineStr">
        <x:is>
          <x:t xml:space="preserve">USD</x:t>
        </x:is>
      </x:c>
      <x:c r="I12" s="84" t="inlineStr">
        <x:is>
          <x:t xml:space="preserve">FY2026 revenue</x:t>
        </x:is>
      </x:c>
      <x:c r="J12" s="83" t="n">
        <x:v>0</x:v>
      </x:c>
      <x:c r="K12" s="84" t="inlineStr">
        <x:is>
          <x:t xml:space="preserve">https://finance.yahoo.com/quote/SNOW/history/</x:t>
        </x:is>
      </x:c>
      <x:c r="L12" s="84" t="inlineStr">
        <x:is>
          <x:t xml:space="preserve">https://www.sec.gov/Archives/edgar/data/1640147/000164014726000023/snowflake2026ars.pdf</x:t>
        </x:is>
      </x:c>
      <x:c r="M12" s="84" t="inlineStr">
        <x:is>
          <x:t xml:space="preserve">Data-cloud commercialization reference; not a direct foundation-model comparable.</x:t>
        </x:is>
      </x:c>
      <x:c r="N12" s="86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88" t="inlineStr">
        <x:is>
          <x:t xml:space="preserve">Market date</x:t>
        </x:is>
      </x:c>
      <x:c r="B1" s="88" t="inlineStr">
        <x:is>
          <x:t xml:space="preserve">2026-08-31</x:t>
        </x:is>
      </x:c>
    </x:row>
    <x:row r="2">
      <x:c r="A2" s="6" t="inlineStr">
        <x:is>
          <x:t xml:space="preserve">Market price (HK$)</x:t>
        </x:is>
      </x:c>
      <x:c r="B2" s="14" t="n">
        <x:v>1195</x:v>
      </x:c>
    </x:row>
    <x:row r="3">
      <x:c r="A3" s="6" t="inlineStr">
        <x:is>
          <x:t xml:space="preserve">Market equity value (US$m)</x:t>
        </x:is>
      </x:c>
      <x:c r="B3" s="14" t="n">
        <x:v>71335.8</x:v>
      </x:c>
    </x:row>
    <x:row r="4">
      <x:c r="A4" s="6" t="inlineStr">
        <x:is>
          <x:t xml:space="preserve">Market equity value / FY2026E revenue</x:t>
        </x:is>
      </x:c>
      <x:c r="B4" s="14" t="n">
        <x:v>101.9</x:v>
      </x:c>
    </x:row>
    <x:row r="5">
      <x:c r="A5" s="6" t="inlineStr">
        <x:is>
          <x:t xml:space="preserve">Bear per share (HK$)</x:t>
        </x:is>
      </x:c>
      <x:c r="B5" s="14" t="n">
        <x:v>24.6</x:v>
      </x:c>
    </x:row>
    <x:row r="6">
      <x:c r="A6" s="6" t="inlineStr">
        <x:is>
          <x:t xml:space="preserve">Base per share (HK$)</x:t>
        </x:is>
      </x:c>
      <x:c r="B6" s="14" t="n">
        <x:v>72.8</x:v>
      </x:c>
    </x:row>
    <x:row r="7">
      <x:c r="A7" s="6" t="inlineStr">
        <x:is>
          <x:t xml:space="preserve">Bull per share (HK$)</x:t>
        </x:is>
      </x:c>
      <x:c r="B7" s="14" t="n">
        <x:v>233.1</x:v>
      </x:c>
    </x:row>
    <x:row r="8">
      <x:c r="A8" s="6" t="inlineStr">
        <x:is>
          <x:t xml:space="preserve">Probability-weighted equity (US$m)</x:t>
        </x:is>
      </x:c>
      <x:c r="B8" s="14" t="n">
        <x:v>5252.4</x:v>
      </x:c>
    </x:row>
    <x:row r="9">
      <x:c r="A9" s="6" t="inlineStr">
        <x:is>
          <x:t xml:space="preserve">Probability-weighted per share (HK$)</x:t>
        </x:is>
      </x:c>
      <x:c r="B9" s="14" t="n">
        <x:v>88</x:v>
      </x:c>
    </x:row>
    <x:row r="10">
      <x:c r="A10" s="6" t="inlineStr">
        <x:is>
          <x:t xml:space="preserve">DCF value as % of market</x:t>
        </x:is>
      </x:c>
      <x:c r="B10" s="12" t="n">
        <x:v>0.0736</x:v>
      </x:c>
    </x:row>
  </x:sheetData>
  <x:pageMargins left="0.7" right="0.7" top="0.75" bottom="0.75" header="0.3" footer="0.3"/>
</x:worksheet>
</file>