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2fe954ef4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162172a2f7194036"/>
    <x:sheet xmlns:r="http://schemas.openxmlformats.org/officeDocument/2006/relationships" name="Bear" sheetId="2" r:id="Rbca2de0c754f4a60"/>
    <x:sheet xmlns:r="http://schemas.openxmlformats.org/officeDocument/2006/relationships" name="Base" sheetId="3" r:id="R3b521c7225864735"/>
    <x:sheet xmlns:r="http://schemas.openxmlformats.org/officeDocument/2006/relationships" name="Bull" sheetId="4" r:id="R1e070cc8ce064966"/>
    <x:sheet xmlns:r="http://schemas.openxmlformats.org/officeDocument/2006/relationships" name="Summary" sheetId="5" r:id="R80a58e740b8d4c6f"/>
    <x:sheet xmlns:r="http://schemas.openxmlformats.org/officeDocument/2006/relationships" name="Valuation Comps" sheetId="6" r:id="Re0786eb5842d4035"/>
    <x:sheet xmlns:r="http://schemas.openxmlformats.org/officeDocument/2006/relationships" name="Audit Summary" sheetId="7" r:id="R49e248e9259d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00"/>
    <x:numFmt numFmtId="202" formatCode="#,##0.0"/>
    <x:numFmt numFmtId="203" formatCode="0%"/>
    <x:numFmt numFmtId="204" formatCode="0.0&quot;x&quot;"/>
    <x:numFmt numFmtId="205" formatCode="#,##0.000"/>
    <x:numFmt numFmtId="206" formatCode="#,##0.0;(#,##0.0);&quot;-&quot;"/>
  </x:numFmts>
  <x:fonts count="7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b/>
      <x:color rgb="FF1F1F1F"/>
    </x:font>
    <x:font>
      <x:b/>
      <x:sz val="11"/>
      <x:color theme="1"/>
      <x:name val="Calibri"/>
    </x:font>
    <x:font>
      <x:b/>
      <x:sz val="11"/>
      <x:color rgb="FFC62828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/>
    <x:xf numFmtId="0" fontId="1" fillId="2" borderId="0" xfId="0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202" fontId="5" fillId="5" borderId="1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202" fontId="5" fillId="5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5" fontId="6" fillId="6" borderId="1" xfId="0" applyNumberFormat="1" applyFont="1" applyFill="1" applyBorder="1" applyAlignment="1">
      <x:alignment vertical="center"/>
    </x:xf>
    <x:xf numFmtId="205" fontId="0" fillId="7" borderId="1" xfId="0" applyNumberFormat="1" applyFont="1" applyFill="1" applyBorder="1" applyAlignment="1">
      <x:alignment vertical="center"/>
    </x:xf>
    <x:xf numFmtId="205" fontId="0" fillId="8" borderId="1" xfId="0" applyNumberFormat="1" applyFont="1" applyFill="1" applyBorder="1" applyAlignment="1">
      <x:alignment vertical="center"/>
    </x:xf>
    <x:xf numFmtId="205" fontId="0" fillId="5" borderId="1" xfId="0" applyNumberFormat="1" applyFont="1" applyFill="1" applyBorder="1" applyAlignment="1">
      <x:alignment vertical="center"/>
    </x:xf>
    <x:xf numFmtId="204" fontId="6" fillId="6" borderId="1" xfId="0" applyNumberFormat="1" applyFont="1" applyFill="1" applyBorder="1" applyAlignment="1">
      <x:alignment vertical="center"/>
    </x:xf>
    <x:xf numFmtId="204" fontId="0" fillId="7" borderId="1" xfId="0" applyNumberFormat="1" applyFont="1" applyFill="1" applyBorder="1" applyAlignment="1">
      <x:alignment vertical="center"/>
    </x:xf>
    <x:xf numFmtId="204" fontId="0" fillId="8" borderId="1" xfId="0" applyNumberFormat="1" applyFont="1" applyFill="1" applyBorder="1" applyAlignment="1">
      <x:alignment vertical="center"/>
    </x:xf>
    <x:xf numFmtId="204" fontId="0" fillId="5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6" fontId="0" fillId="0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0e65c152e4076" /><Relationship Type="http://schemas.openxmlformats.org/officeDocument/2006/relationships/theme" Target="/xl/theme/theme1.xml" Id="Rac54c2fb21cc480d" /><Relationship Type="http://schemas.openxmlformats.org/officeDocument/2006/relationships/sharedStrings" Target="/xl/sharedStrings.xml" Id="Re7e0623821974e5b" /><Relationship Type="http://schemas.openxmlformats.org/officeDocument/2006/relationships/worksheet" Target="/xl/worksheets/sheet1.xml" Id="R162172a2f7194036" /><Relationship Type="http://schemas.openxmlformats.org/officeDocument/2006/relationships/worksheet" Target="/xl/worksheets/sheet2.xml" Id="Rbca2de0c754f4a60" /><Relationship Type="http://schemas.openxmlformats.org/officeDocument/2006/relationships/worksheet" Target="/xl/worksheets/sheet3.xml" Id="R3b521c7225864735" /><Relationship Type="http://schemas.openxmlformats.org/officeDocument/2006/relationships/worksheet" Target="/xl/worksheets/sheet4.xml" Id="R1e070cc8ce064966" /><Relationship Type="http://schemas.openxmlformats.org/officeDocument/2006/relationships/worksheet" Target="/xl/worksheets/sheet5.xml" Id="R80a58e740b8d4c6f" /><Relationship Type="http://schemas.openxmlformats.org/officeDocument/2006/relationships/worksheet" Target="/xl/worksheets/sheet6.xml" Id="Re0786eb5842d4035" /><Relationship Type="http://schemas.openxmlformats.org/officeDocument/2006/relationships/worksheet" Target="/xl/worksheets/sheet7.xml" Id="R49e248e9259d40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47" hidden="0" customWidth="1"/>
    <x:col min="2" max="2" width="18" hidden="0" customWidth="1"/>
    <x:col min="3" max="3" width="78" hidden="0" customWidth="1"/>
  </x:cols>
  <x:sheetData>
    <x:row r="1" ht="28" customHeight="1">
      <x:c r="A1" s="9" t="inlineStr">
        <x:is>
          <x:t xml:space="preserve">GLOBAL ASSUMPTIONS</x:t>
        </x:is>
      </x:c>
      <x:c r="B1" s="10"/>
      <x:c r="C1" s="10"/>
    </x:row>
    <x:row r="2">
      <x:c r="A2" s="6" t="inlineStr">
        <x:is>
          <x:t xml:space="preserve">WACC</x:t>
        </x:is>
      </x:c>
      <x:c r="B2" s="12" t="n">
        <x:v>0.135</x:v>
      </x:c>
      <x:c r="C2" s="11"/>
    </x:row>
    <x:row r="3">
      <x:c r="A3" s="6" t="inlineStr">
        <x:is>
          <x:t xml:space="preserve">Terminal growth g</x:t>
        </x:is>
      </x:c>
      <x:c r="B3" s="12" t="n">
        <x:v>0.04</x:v>
      </x:c>
      <x:c r="C3" s="11"/>
    </x:row>
    <x:row r="4">
      <x:c r="A4" s="6" t="inlineStr">
        <x:is>
          <x:t xml:space="preserve">Tax rate</x:t>
        </x:is>
      </x:c>
      <x:c r="B4" s="12" t="n">
        <x:v>0.15</x:v>
      </x:c>
      <x:c r="C4" s="11"/>
    </x:row>
    <x:row r="5">
      <x:c r="A5" s="6" t="inlineStr">
        <x:is>
          <x:t xml:space="preserve">Shares outstanding (m)</x:t>
        </x:is>
      </x:c>
      <x:c r="B5" s="13" t="n">
        <x:v>487.58809</x:v>
      </x:c>
      <x:c r="C5" s="11" t="str">
        <x:v>September monthly return (2 Oct): 263,059,605 H + 224,528,485 unlisted shares; awards unvested. https://www1.hkexnews.hk/listedco/listconews/sehk/2026/1002/2026100201832_c.pdf</x:v>
      </x:c>
    </x:row>
    <x:row r="6">
      <x:c r="A6" s="6" t="inlineStr">
        <x:is>
          <x:t xml:space="preserve">USD/HKD</x:t>
        </x:is>
      </x:c>
      <x:c r="B6" s="6" t="n">
        <x:v>7.8</x:v>
      </x:c>
      <x:c r="C6" s="11"/>
    </x:row>
    <x:row r="7" ht="44" customHeight="1">
      <x:c r="A7" s="6" t="inlineStr">
        <x:is>
          <x:t xml:space="preserve">Net cash + ST investments (US$m, pro forma)</x:t>
        </x:is>
      </x:c>
      <x:c r="B7" s="14" t="n">
        <x:f>(B20-B28-B21)/B29+(B22+B24)/B6+B25-B26</x:f>
        <x:v>6292.850240778773</x:v>
      </x:c>
      <x:c r="C7" s="11" t="str">
        <x:v>June net cash excludes restricted deposits; adds July/September funding less CB principal proxy. Excludes subsequent cash burn.</x:v>
      </x:c>
    </x:row>
    <x:row r="8">
      <x:c r="A8" s="6" t="inlineStr">
        <x:is>
          <x:t xml:space="preserve">Market date</x:t>
        </x:is>
      </x:c>
      <x:c r="B8" s="14" t="str">
        <x:v>2026-10-14</x:v>
      </x:c>
      <x:c r="C8" s="11" t="inlineStr">
        <x:is>
          <x:t xml:space="preserve">derived from data/Zhipu_KnowledgeAtlas_daily.csv</x:t>
        </x:is>
      </x:c>
    </x:row>
    <x:row r="9">
      <x:c r="A9" s="6" t="inlineStr">
        <x:is>
          <x:t xml:space="preserve">Market price (HK$)</x:t>
        </x:is>
      </x:c>
      <x:c r="B9" s="14" t="n">
        <x:v>572</x:v>
      </x:c>
      <x:c r="C9" s="11"/>
    </x:row>
    <x:row r="10">
      <x:c r="A10" s="6" t="inlineStr">
        <x:is>
          <x:t xml:space="preserve">2025 revenue (US$m)</x:t>
        </x:is>
      </x:c>
      <x:c r="B10" s="14" t="n">
        <x:v>102</x:v>
      </x:c>
      <x:c r="C10" s="11"/>
    </x:row>
    <x:row r="11" ht="36" customHeight="1">
      <x:c r="A11" s="6" t="inlineStr">
        <x:is>
          <x:t xml:space="preserve">2026E revenue (US$m)</x:t>
        </x:is>
      </x:c>
      <x:c r="B11" s="14" t="n">
        <x:v>700</x:v>
      </x:c>
      <x:c r="C11" s="11" t="inlineStr">
        <x:is>
          <x:t xml:space="preserve">model estimate anchored to H1 actual and August run-rate; not company guidance</x:t>
        </x:is>
      </x:c>
    </x:row>
    <x:row r="12">
      <x:c r="A12" s="6" t="inlineStr">
        <x:is>
          <x:t xml:space="preserve">LTM revenue through 2026H1 (US$m)</x:t>
        </x:is>
      </x:c>
      <x:c r="B12" s="14" t="n">
        <x:v>209.480985915493</x:v>
      </x:c>
      <x:c r="C12" s="11" t="inlineStr">
        <x:is>
          <x:t xml:space="preserve">FY2025 less 2025H1 plus 2026H1, translated at USD/CNY 7.1</x:t>
        </x:is>
      </x:c>
    </x:row>
    <x:row r="13">
      <x:c r="A13" s="6" t="inlineStr">
        <x:is>
          <x:t xml:space="preserve">2026H1 revenue (RMB m)</x:t>
        </x:is>
      </x:c>
      <x:c r="B13" s="14" t="n">
        <x:v>953.8920000000001</x:v>
      </x:c>
      <x:c r="C13" s="11" t="inlineStr">
        <x:is>
          <x:t xml:space="preserve">unaudited; reviewed by KPMG</x:t>
        </x:is>
      </x:c>
    </x:row>
    <x:row r="14">
      <x:c r="A14" s="6" t="inlineStr">
        <x:is>
          <x:t xml:space="preserve">2026H1 total gross margin</x:t>
        </x:is>
      </x:c>
      <x:c r="B14" s="12" t="n">
        <x:v>0.2637730476825468</x:v>
      </x:c>
      <x:c r="C14" s="11"/>
    </x:row>
    <x:row r="15">
      <x:c r="A15" s="6" t="inlineStr">
        <x:is>
          <x:t xml:space="preserve">2026H1 API revenue share</x:t>
        </x:is>
      </x:c>
      <x:c r="B15" s="12" t="n">
        <x:v>0.8650622921672474</x:v>
      </x:c>
      <x:c r="C15" s="11"/>
    </x:row>
    <x:row r="16">
      <x:c r="A16" s="6" t="inlineStr">
        <x:is>
          <x:t xml:space="preserve">2026H1 API gross margin</x:t>
        </x:is>
      </x:c>
      <x:c r="B16" s="12" t="n">
        <x:v>0.2458517940415136</x:v>
      </x:c>
      <x:c r="C16" s="11"/>
    </x:row>
    <x:row r="17">
      <x:c r="A17" s="6" t="inlineStr">
        <x:is>
          <x:t xml:space="preserve">2026H1 operating margin</x:t>
        </x:is>
      </x:c>
      <x:c r="B17" s="12" t="n">
        <x:v>-2.250309259329148</x:v>
      </x:c>
      <x:c r="C17" s="11"/>
    </x:row>
    <x:row r="18">
      <x:c r="A18" s="6" t="inlineStr">
        <x:is>
          <x:t xml:space="preserve">2026E operating margin</x:t>
        </x:is>
      </x:c>
      <x:c r="B18" s="12" t="n">
        <x:v>-1</x:v>
      </x:c>
      <x:c r="C18" s="11" t="inlineStr">
        <x:is>
          <x:t xml:space="preserve">model assumption; H1 actual shown above</x:t>
        </x:is>
      </x:c>
    </x:row>
    <x:row r="19">
      <x:c r="A19" s="6" t="inlineStr">
        <x:is>
          <x:t xml:space="preserve">2026H1 adjusted net loss (RMB m)</x:t>
        </x:is>
      </x:c>
      <x:c r="B19" s="14" t="n">
        <x:v>1964.138</x:v>
      </x:c>
      <x:c r="C19" s="11"/>
    </x:row>
    <x:row r="20">
      <x:c r="A20" s="6" t="inlineStr">
        <x:is>
          <x:t xml:space="preserve">2026-06-30 cash + ST investments (RMB m)</x:t>
        </x:is>
      </x:c>
      <x:c r="B20" s="14" t="n">
        <x:v>4499.861</x:v>
      </x:c>
      <x:c r="C20" s="11"/>
    </x:row>
    <x:row r="21">
      <x:c r="A21" s="6" t="inlineStr">
        <x:is>
          <x:t xml:space="preserve">2026-06-30 bank loans + leases (RMB m)</x:t>
        </x:is>
      </x:c>
      <x:c r="B21" s="14" t="n">
        <x:v>2604.199</x:v>
      </x:c>
      <x:c r="C21" s="11"/>
    </x:row>
    <x:row r="22">
      <x:c r="A22" s="6" t="inlineStr">
        <x:is>
          <x:t xml:space="preserve">July placement net proceeds (HKD m)</x:t>
        </x:is>
      </x:c>
      <x:c r="B22" s="14" t="n">
        <x:v>31374.95</x:v>
      </x:c>
      <x:c r="C22" s="11"/>
    </x:row>
    <x:row r="23" ht="36" customHeight="1">
      <x:c r="A23" s="6" t="str">
        <x:v>2026H1 operating cash flow (RMB m)</x:v>
      </x:c>
      <x:c r="B23" s="60" t="n">
        <x:v>-3374.057</x:v>
      </x:c>
      <x:c r="C23" s="11" t="str">
        <x:v>Interim report pp.60-61; published 2026-09-24</x:v>
      </x:c>
    </x:row>
    <x:row r="24">
      <x:c r="A24" t="str">
        <x:v>September placement net (HKD m)</x:v>
      </x:c>
      <x:c r="B24" s="59" t="n">
        <x:v>15664.13</x:v>
      </x:c>
      <x:c r="C24" t="str">
        <x:v>Completed 2026-09-16</x:v>
      </x:c>
    </x:row>
    <x:row r="25">
      <x:c r="A25" t="str">
        <x:v>September CB net (USD m)</x:v>
      </x:c>
      <x:c r="B25" s="59" t="n">
        <x:v>3010.77</x:v>
      </x:c>
      <x:c r="C25" t="str">
        <x:v>Issued 2026-09-18</x:v>
      </x:c>
    </x:row>
    <x:row r="26">
      <x:c r="A26" t="str">
        <x:v>CB principal proxy (USD m)</x:v>
      </x:c>
      <x:c r="B26" s="59" t="n">
        <x:v>3000.636815920398</x:v>
      </x:c>
      <x:c r="C26" t="str">
        <x:v>3015.64 / 1.005; issue-date proxy, not IFRS fair value</x:v>
      </x:c>
    </x:row>
    <x:row r="27">
      <x:c r="A27" t="str">
        <x:v>September financing source</x:v>
      </x:c>
      <x:c r="B27" t="str">
        <x:v>https://www.hkexnews.hk/listedco/listconews/sehk/2026/0918/2026091800400_c.pdf</x:v>
      </x:c>
      <x:c r="C27" t="str">
        <x:v>Settlement / FX terms in September 13 announcement</x:v>
      </x:c>
    </x:row>
    <x:row r="28">
      <x:c r="A28" t="str">
        <x:v>June restricted cash (RMB m)</x:v>
      </x:c>
      <x:c r="B28" s="61" t="n">
        <x:v>105.995</x:v>
      </x:c>
      <x:c r="C28" t="str">
        <x:v>Note 14 p.74: https://www.hkexnews.hk/listedco/listconews/sehk/2026/0924/2026092401584_c.pdf</x:v>
      </x:c>
    </x:row>
    <x:row r="29">
      <x:c r="A29" t="str">
        <x:v>RMB per USD</x:v>
      </x:c>
      <x:c r="B29" s="61" t="n">
        <x:v>7.1</x:v>
      </x:c>
      <x:c r="C29" t="str">
        <x:v>Model FX assumption retained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20" t="inlineStr">
        <x:is>
          <x:t xml:space="preserve">DCF - Bear scenario</x:t>
        </x:is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>
      <x:c r="A2" s="17" t="inlineStr">
        <x:is>
          <x:t xml:space="preserve">growth start (2027)</x:t>
        </x:is>
      </x:c>
      <x:c r="B2" s="24" t="n">
        <x:v>0.4</x:v>
      </x:c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7" t="inlineStr">
        <x:is>
          <x:t xml:space="preserve">growth end (2035)</x:t>
        </x:is>
      </x:c>
      <x:c r="B3" s="24" t="n">
        <x:v>0.06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 t="inlineStr">
        <x:is>
          <x:t xml:space="preserve">start op margin</x:t>
        </x:is>
      </x:c>
      <x:c r="B4" s="24" t="n">
        <x:v>-1</x:v>
      </x:c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A5" s="17" t="inlineStr">
        <x:is>
          <x:t xml:space="preserve">terminal op margin</x:t>
        </x:is>
      </x:c>
      <x:c r="B5" s="24" t="n">
        <x:v>0.18</x:v>
      </x:c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</x:row>
    <x:row r="6">
      <x:c r="A6" s="17" t="inlineStr">
        <x:is>
          <x:t xml:space="preserve">sales-to-capital</x:t>
        </x:is>
      </x:c>
      <x:c r="B6" s="17" t="n">
        <x:v>2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</x:row>
    <x:row r="8" ht="28" customHeight="1">
      <x:c r="A8" s="23" t="inlineStr">
        <x:is>
          <x:t xml:space="preserve">Year</x:t>
        </x:is>
      </x:c>
      <x:c r="B8" s="23" t="inlineStr">
        <x:is>
          <x:t xml:space="preserve">i</x:t>
        </x:is>
      </x:c>
      <x:c r="C8" s="23" t="inlineStr">
        <x:is>
          <x:t xml:space="preserve">growth</x:t>
        </x:is>
      </x:c>
      <x:c r="D8" s="23" t="inlineStr">
        <x:is>
          <x:t xml:space="preserve">revenue</x:t>
        </x:is>
      </x:c>
      <x:c r="E8" s="23" t="inlineStr">
        <x:is>
          <x:t xml:space="preserve">op margin</x:t>
        </x:is>
      </x:c>
      <x:c r="F8" s="23" t="inlineStr">
        <x:is>
          <x:t xml:space="preserve">EBIT</x:t>
        </x:is>
      </x:c>
      <x:c r="G8" s="23" t="inlineStr">
        <x:is>
          <x:t xml:space="preserve">cash tax</x:t>
        </x:is>
      </x:c>
      <x:c r="H8" s="23" t="inlineStr">
        <x:is>
          <x:t xml:space="preserve">NOL end</x:t>
        </x:is>
      </x:c>
      <x:c r="I8" s="23" t="inlineStr">
        <x:is>
          <x:t xml:space="preserve">NOPAT</x:t>
        </x:is>
      </x:c>
      <x:c r="J8" s="23" t="inlineStr">
        <x:is>
          <x:t xml:space="preserve">dRev</x:t>
        </x:is>
      </x:c>
      <x:c r="K8" s="23" t="inlineStr">
        <x:is>
          <x:t xml:space="preserve">reinvest</x:t>
        </x:is>
      </x:c>
      <x:c r="L8" s="23" t="inlineStr">
        <x:is>
          <x:t xml:space="preserve">FCFF</x:t>
        </x:is>
      </x:c>
      <x:c r="M8" s="23" t="inlineStr">
        <x:is>
          <x:t xml:space="preserve">disc</x:t>
        </x:is>
      </x:c>
      <x:c r="N8" s="23" t="inlineStr">
        <x:is>
          <x:t xml:space="preserve">PV</x:t>
        </x:is>
      </x:c>
    </x:row>
    <x:row r="9">
      <x:c r="A9" s="17" t="n">
        <x:v>2026</x:v>
      </x:c>
      <x:c r="B9" s="17" t="n">
        <x:v>0</x:v>
      </x:c>
      <x:c r="C9" s="24" t="n">
        <x:f>Assumptions!$B$11/Assumptions!$B$10-1</x:f>
        <x:v>5.862745098039215</x:v>
      </x:c>
      <x:c r="D9" s="25" t="n">
        <x:f>Assumptions!$B$11</x:f>
        <x:v>700</x:v>
      </x:c>
      <x:c r="E9" s="24" t="n">
        <x:f>$B$4+($B$5-$B$4)*B9/9</x:f>
        <x:v>-1</x:v>
      </x:c>
      <x:c r="F9" s="25" t="n">
        <x:f>D9*E9</x:f>
        <x:v>-700</x:v>
      </x:c>
      <x:c r="G9" s="25" t="n">
        <x:f>IF(F9&lt;0,0,MAX(F9-0,0)*Assumptions!$B$4)</x:f>
        <x:v>0</x:v>
      </x:c>
      <x:c r="H9" s="25" t="n">
        <x:f>IF(F9&lt;0,0-F9,MAX(0-F9,0))</x:f>
        <x:v>700</x:v>
      </x:c>
      <x:c r="I9" s="25" t="n">
        <x:f>F9-G9</x:f>
        <x:v>-700</x:v>
      </x:c>
      <x:c r="J9" s="25" t="n">
        <x:f>D9-Assumptions!$B$10</x:f>
        <x:v>598</x:v>
      </x:c>
      <x:c r="K9" s="25" t="n">
        <x:f>MAX(J9,0)/$B$6</x:f>
        <x:v>299</x:v>
      </x:c>
      <x:c r="L9" s="25" t="n">
        <x:f>I9-K9</x:f>
        <x:v>-999</x:v>
      </x:c>
      <x:c r="M9" s="26" t="n">
        <x:f>1/(1+Assumptions!$B$2)^(B9+1)</x:f>
        <x:v>0.8810572687224669</x:v>
      </x:c>
      <x:c r="N9" s="25" t="n">
        <x:f>L9*M9</x:f>
        <x:v>-880.1762114537445</x:v>
      </x:c>
    </x:row>
    <x:row r="10">
      <x:c r="A10" s="17" t="n">
        <x:v>2027</x:v>
      </x:c>
      <x:c r="B10" s="17" t="n">
        <x:v>1</x:v>
      </x:c>
      <x:c r="C10" s="24" t="n">
        <x:f>$B$2+($B$3-$B$2)*(B10-1)/8</x:f>
        <x:v>0.4</x:v>
      </x:c>
      <x:c r="D10" s="25" t="n">
        <x:f>D9*(1+C10)</x:f>
        <x:v>979.9999999999999</x:v>
      </x:c>
      <x:c r="E10" s="24" t="n">
        <x:f>$B$4+($B$5-$B$4)*B10/9</x:f>
        <x:v>-0.8688888888888889</x:v>
      </x:c>
      <x:c r="F10" s="25" t="n">
        <x:f>D10*E10</x:f>
        <x:v>-851.5111111111111</x:v>
      </x:c>
      <x:c r="G10" s="25" t="n">
        <x:f>IF(F10&lt;0,0,MAX(F10-H9,0)*Assumptions!$B$4)</x:f>
        <x:v>0</x:v>
      </x:c>
      <x:c r="H10" s="25" t="n">
        <x:f>IF(F10&lt;0,H9-F10,MAX(H9-F10,0))</x:f>
        <x:v>1551.511111111111</x:v>
      </x:c>
      <x:c r="I10" s="25" t="n">
        <x:f>F10-G10</x:f>
        <x:v>-851.5111111111111</x:v>
      </x:c>
      <x:c r="J10" s="25" t="n">
        <x:f>D10-D9</x:f>
        <x:v>279.9999999999999</x:v>
      </x:c>
      <x:c r="K10" s="25" t="n">
        <x:f>MAX(J10,0)/$B$6</x:f>
        <x:v>139.99999999999994</x:v>
      </x:c>
      <x:c r="L10" s="25" t="n">
        <x:f>I10-K10</x:f>
        <x:v>-991.511111111111</x:v>
      </x:c>
      <x:c r="M10" s="26" t="n">
        <x:f>1/(1+Assumptions!$B$2)^(B10+1)</x:f>
        <x:v>0.7762619107686933</x:v>
      </x:c>
      <x:c r="N10" s="25" t="n">
        <x:f>L10*M10</x:f>
        <x:v>-769.6723096595011</x:v>
      </x:c>
    </x:row>
    <x:row r="11">
      <x:c r="A11" s="17" t="n">
        <x:v>2028</x:v>
      </x:c>
      <x:c r="B11" s="17" t="n">
        <x:v>2</x:v>
      </x:c>
      <x:c r="C11" s="24" t="n">
        <x:f>$B$2+($B$3-$B$2)*(B11-1)/8</x:f>
        <x:v>0.35750000000000004</x:v>
      </x:c>
      <x:c r="D11" s="25" t="n">
        <x:f>D10*(1+C11)</x:f>
        <x:v>1330.3499999999997</x:v>
      </x:c>
      <x:c r="E11" s="24" t="n">
        <x:f>$B$4+($B$5-$B$4)*B11/9</x:f>
        <x:v>-0.7377777777777779</x:v>
      </x:c>
      <x:c r="F11" s="25" t="n">
        <x:f>D11*E11</x:f>
        <x:v>-981.5026666666665</x:v>
      </x:c>
      <x:c r="G11" s="25" t="n">
        <x:f>IF(F11&lt;0,0,MAX(F11-H10,0)*Assumptions!$B$4)</x:f>
        <x:v>0</x:v>
      </x:c>
      <x:c r="H11" s="25" t="n">
        <x:f>IF(F11&lt;0,H10-F11,MAX(H10-F11,0))</x:f>
        <x:v>2533.0137777777772</x:v>
      </x:c>
      <x:c r="I11" s="25" t="n">
        <x:f>F11-G11</x:f>
        <x:v>-981.5026666666665</x:v>
      </x:c>
      <x:c r="J11" s="25" t="n">
        <x:f>D11-D10</x:f>
        <x:v>350.3499999999998</x:v>
      </x:c>
      <x:c r="K11" s="25" t="n">
        <x:f>MAX(J11,0)/$B$6</x:f>
        <x:v>175.1749999999999</x:v>
      </x:c>
      <x:c r="L11" s="25" t="n">
        <x:f>I11-K11</x:f>
        <x:v>-1156.6776666666665</x:v>
      </x:c>
      <x:c r="M11" s="26" t="n">
        <x:f>1/(1+Assumptions!$B$2)^(B11+1)</x:f>
        <x:v>0.6839311989151483</x:v>
      </x:c>
      <x:c r="N11" s="25" t="n">
        <x:f>L11*M11</x:f>
        <x:v>-791.0879433217095</x:v>
      </x:c>
    </x:row>
    <x:row r="12">
      <x:c r="A12" s="17" t="n">
        <x:v>2029</x:v>
      </x:c>
      <x:c r="B12" s="17" t="n">
        <x:v>3</x:v>
      </x:c>
      <x:c r="C12" s="24" t="n">
        <x:f>$B$2+($B$3-$B$2)*(B12-1)/8</x:f>
        <x:v>0.315</x:v>
      </x:c>
      <x:c r="D12" s="25" t="n">
        <x:f>D11*(1+C12)</x:f>
        <x:v>1749.4102499999995</x:v>
      </x:c>
      <x:c r="E12" s="24" t="n">
        <x:f>$B$4+($B$5-$B$4)*B12/9</x:f>
        <x:v>-0.6066666666666667</x:v>
      </x:c>
      <x:c r="F12" s="25" t="n">
        <x:f>D12*E12</x:f>
        <x:v>-1061.3088849999997</x:v>
      </x:c>
      <x:c r="G12" s="25" t="n">
        <x:f>IF(F12&lt;0,0,MAX(F12-H11,0)*Assumptions!$B$4)</x:f>
        <x:v>0</x:v>
      </x:c>
      <x:c r="H12" s="25" t="n">
        <x:f>IF(F12&lt;0,H11-F12,MAX(H11-F12,0))</x:f>
        <x:v>3594.3226627777767</x:v>
      </x:c>
      <x:c r="I12" s="25" t="n">
        <x:f>F12-G12</x:f>
        <x:v>-1061.3088849999997</x:v>
      </x:c>
      <x:c r="J12" s="25" t="n">
        <x:f>D12-D11</x:f>
        <x:v>419.06024999999977</x:v>
      </x:c>
      <x:c r="K12" s="25" t="n">
        <x:f>MAX(J12,0)/$B$6</x:f>
        <x:v>209.53012499999988</x:v>
      </x:c>
      <x:c r="L12" s="25" t="n">
        <x:f>I12-K12</x:f>
        <x:v>-1270.8390099999997</x:v>
      </x:c>
      <x:c r="M12" s="26" t="n">
        <x:f>1/(1+Assumptions!$B$2)^(B12+1)</x:f>
        <x:v>0.6025825541102628</x:v>
      </x:c>
      <x:c r="N12" s="25" t="n">
        <x:f>L12*M12</x:f>
        <x:v>-765.7854165087576</x:v>
      </x:c>
    </x:row>
    <x:row r="13">
      <x:c r="A13" s="17" t="n">
        <x:v>2030</x:v>
      </x:c>
      <x:c r="B13" s="17" t="n">
        <x:v>4</x:v>
      </x:c>
      <x:c r="C13" s="24" t="n">
        <x:f>$B$2+($B$3-$B$2)*(B13-1)/8</x:f>
        <x:v>0.2725</x:v>
      </x:c>
      <x:c r="D13" s="25" t="n">
        <x:f>D12*(1+C13)</x:f>
        <x:v>2226.124543124999</x:v>
      </x:c>
      <x:c r="E13" s="24" t="n">
        <x:f>$B$4+($B$5-$B$4)*B13/9</x:f>
        <x:v>-0.4755555555555556</x:v>
      </x:c>
      <x:c r="F13" s="25" t="n">
        <x:f>D13*E13</x:f>
        <x:v>-1058.6458938416663</x:v>
      </x:c>
      <x:c r="G13" s="25" t="n">
        <x:f>IF(F13&lt;0,0,MAX(F13-H12,0)*Assumptions!$B$4)</x:f>
        <x:v>0</x:v>
      </x:c>
      <x:c r="H13" s="25" t="n">
        <x:f>IF(F13&lt;0,H12-F13,MAX(H12-F13,0))</x:f>
        <x:v>4652.968556619443</x:v>
      </x:c>
      <x:c r="I13" s="25" t="n">
        <x:f>F13-G13</x:f>
        <x:v>-1058.6458938416663</x:v>
      </x:c>
      <x:c r="J13" s="25" t="n">
        <x:f>D13-D12</x:f>
        <x:v>476.7142931249996</x:v>
      </x:c>
      <x:c r="K13" s="25" t="n">
        <x:f>MAX(J13,0)/$B$6</x:f>
        <x:v>238.3571465624998</x:v>
      </x:c>
      <x:c r="L13" s="25" t="n">
        <x:f>I13-K13</x:f>
        <x:v>-1297.003040404166</x:v>
      </x:c>
      <x:c r="M13" s="26" t="n">
        <x:f>1/(1+Assumptions!$B$2)^(B13+1)</x:f>
        <x:v>0.5309097393041963</x:v>
      </x:c>
      <x:c r="N13" s="25" t="n">
        <x:f>L13*M13</x:f>
        <x:v>-688.5915460577257</x:v>
      </x:c>
    </x:row>
    <x:row r="14">
      <x:c r="A14" s="17" t="n">
        <x:v>2031</x:v>
      </x:c>
      <x:c r="B14" s="17" t="n">
        <x:v>5</x:v>
      </x:c>
      <x:c r="C14" s="24" t="n">
        <x:f>$B$2+($B$3-$B$2)*(B14-1)/8</x:f>
        <x:v>0.23</x:v>
      </x:c>
      <x:c r="D14" s="25" t="n">
        <x:f>D13*(1+C14)</x:f>
        <x:v>2738.1331880437488</x:v>
      </x:c>
      <x:c r="E14" s="24" t="n">
        <x:f>$B$4+($B$5-$B$4)*B14/9</x:f>
        <x:v>-0.34444444444444455</x:v>
      </x:c>
      <x:c r="F14" s="25" t="n">
        <x:f>D14*E14</x:f>
        <x:v>-943.1347647706249</x:v>
      </x:c>
      <x:c r="G14" s="25" t="n">
        <x:f>IF(F14&lt;0,0,MAX(F14-H13,0)*Assumptions!$B$4)</x:f>
        <x:v>0</x:v>
      </x:c>
      <x:c r="H14" s="25" t="n">
        <x:f>IF(F14&lt;0,H13-F14,MAX(H13-F14,0))</x:f>
        <x:v>5596.103321390068</x:v>
      </x:c>
      <x:c r="I14" s="25" t="n">
        <x:f>F14-G14</x:f>
        <x:v>-943.1347647706249</x:v>
      </x:c>
      <x:c r="J14" s="25" t="n">
        <x:f>D14-D13</x:f>
        <x:v>512.0086449187497</x:v>
      </x:c>
      <x:c r="K14" s="25" t="n">
        <x:f>MAX(J14,0)/$B$6</x:f>
        <x:v>256.00432245937486</x:v>
      </x:c>
      <x:c r="L14" s="25" t="n">
        <x:f>I14-K14</x:f>
        <x:v>-1199.1390872299999</x:v>
      </x:c>
      <x:c r="M14" s="26" t="n">
        <x:f>1/(1+Assumptions!$B$2)^(B14+1)</x:f>
        <x:v>0.4677618848495122</x:v>
      </x:c>
      <x:c r="N14" s="25" t="n">
        <x:f>L14*M14</x:f>
        <x:v>-560.9115596394283</x:v>
      </x:c>
    </x:row>
    <x:row r="15">
      <x:c r="A15" s="17" t="n">
        <x:v>2032</x:v>
      </x:c>
      <x:c r="B15" s="17" t="n">
        <x:v>6</x:v>
      </x:c>
      <x:c r="C15" s="24" t="n">
        <x:f>$B$2+($B$3-$B$2)*(B15-1)/8</x:f>
        <x:v>0.1875</x:v>
      </x:c>
      <x:c r="D15" s="25" t="n">
        <x:f>D14*(1+C15)</x:f>
        <x:v>3251.5331608019515</x:v>
      </x:c>
      <x:c r="E15" s="24" t="n">
        <x:f>$B$4+($B$5-$B$4)*B15/9</x:f>
        <x:v>-0.21333333333333337</x:v>
      </x:c>
      <x:c r="F15" s="25" t="n">
        <x:f>D15*E15</x:f>
        <x:v>-693.6604076377498</x:v>
      </x:c>
      <x:c r="G15" s="25" t="n">
        <x:f>IF(F15&lt;0,0,MAX(F15-H14,0)*Assumptions!$B$4)</x:f>
        <x:v>0</x:v>
      </x:c>
      <x:c r="H15" s="25" t="n">
        <x:f>IF(F15&lt;0,H14-F15,MAX(H14-F15,0))</x:f>
        <x:v>6289.763729027818</x:v>
      </x:c>
      <x:c r="I15" s="25" t="n">
        <x:f>F15-G15</x:f>
        <x:v>-693.6604076377498</x:v>
      </x:c>
      <x:c r="J15" s="25" t="n">
        <x:f>D15-D14</x:f>
        <x:v>513.3999727582027</x:v>
      </x:c>
      <x:c r="K15" s="25" t="n">
        <x:f>MAX(J15,0)/$B$6</x:f>
        <x:v>256.69998637910135</x:v>
      </x:c>
      <x:c r="L15" s="25" t="n">
        <x:f>I15-K15</x:f>
        <x:v>-950.3603940168512</x:v>
      </x:c>
      <x:c r="M15" s="26" t="n">
        <x:f>1/(1+Assumptions!$B$2)^(B15+1)</x:f>
        <x:v>0.41212500867798435</x:v>
      </x:c>
      <x:c r="N15" s="25" t="n">
        <x:f>L15*M15</x:f>
        <x:v>-391.6672856314074</x:v>
      </x:c>
    </x:row>
    <x:row r="16">
      <x:c r="A16" s="17" t="n">
        <x:v>2033</x:v>
      </x:c>
      <x:c r="B16" s="17" t="n">
        <x:v>7</x:v>
      </x:c>
      <x:c r="C16" s="24" t="n">
        <x:f>$B$2+($B$3-$B$2)*(B16-1)/8</x:f>
        <x:v>0.14500000000000002</x:v>
      </x:c>
      <x:c r="D16" s="25" t="n">
        <x:f>D15*(1+C16)</x:f>
        <x:v>3723.0054691182345</x:v>
      </x:c>
      <x:c r="E16" s="24" t="n">
        <x:f>$B$4+($B$5-$B$4)*B16/9</x:f>
        <x:v>-0.0822222222222222</x:v>
      </x:c>
      <x:c r="F16" s="25" t="n">
        <x:f>D16*E16</x:f>
        <x:v>-306.1137830163881</x:v>
      </x:c>
      <x:c r="G16" s="25" t="n">
        <x:f>IF(F16&lt;0,0,MAX(F16-H15,0)*Assumptions!$B$4)</x:f>
        <x:v>0</x:v>
      </x:c>
      <x:c r="H16" s="25" t="n">
        <x:f>IF(F16&lt;0,H15-F16,MAX(H15-F16,0))</x:f>
        <x:v>6595.877512044206</x:v>
      </x:c>
      <x:c r="I16" s="25" t="n">
        <x:f>F16-G16</x:f>
        <x:v>-306.1137830163881</x:v>
      </x:c>
      <x:c r="J16" s="25" t="n">
        <x:f>D16-D15</x:f>
        <x:v>471.47230831628303</x:v>
      </x:c>
      <x:c r="K16" s="25" t="n">
        <x:f>MAX(J16,0)/$B$6</x:f>
        <x:v>235.73615415814152</x:v>
      </x:c>
      <x:c r="L16" s="25" t="n">
        <x:f>I16-K16</x:f>
        <x:v>-541.8499371745296</x:v>
      </x:c>
      <x:c r="M16" s="26" t="n">
        <x:f>1/(1+Assumptions!$B$2)^(B16+1)</x:f>
        <x:v>0.36310573451804784</x:v>
      </x:c>
      <x:c r="N16" s="25" t="n">
        <x:f>L16*M16</x:f>
        <x:v>-196.74881943631564</x:v>
      </x:c>
    </x:row>
    <x:row r="17">
      <x:c r="A17" s="17" t="n">
        <x:v>2034</x:v>
      </x:c>
      <x:c r="B17" s="17" t="n">
        <x:v>8</x:v>
      </x:c>
      <x:c r="C17" s="24" t="n">
        <x:f>$B$2+($B$3-$B$2)*(B17-1)/8</x:f>
        <x:v>0.10249999999999998</x:v>
      </x:c>
      <x:c r="D17" s="25" t="n">
        <x:f>D16*(1+C17)</x:f>
        <x:v>4104.613529702854</x:v>
      </x:c>
      <x:c r="E17" s="24" t="n">
        <x:f>$B$4+($B$5-$B$4)*B17/9</x:f>
        <x:v>0.04888888888888876</x:v>
      </x:c>
      <x:c r="F17" s="25" t="n">
        <x:f>D17*E17</x:f>
        <x:v>200.66999478547234</x:v>
      </x:c>
      <x:c r="G17" s="25" t="n">
        <x:f>IF(F17&lt;0,0,MAX(F17-H16,0)*Assumptions!$B$4)</x:f>
        <x:v>0</x:v>
      </x:c>
      <x:c r="H17" s="25" t="n">
        <x:f>IF(F17&lt;0,H16-F17,MAX(H16-F17,0))</x:f>
        <x:v>6395.207517258734</x:v>
      </x:c>
      <x:c r="I17" s="25" t="n">
        <x:f>F17-G17</x:f>
        <x:v>200.66999478547234</x:v>
      </x:c>
      <x:c r="J17" s="25" t="n">
        <x:f>D17-D16</x:f>
        <x:v>381.6080605846196</x:v>
      </x:c>
      <x:c r="K17" s="25" t="n">
        <x:f>MAX(J17,0)/$B$6</x:f>
        <x:v>190.8040302923098</x:v>
      </x:c>
      <x:c r="L17" s="25" t="n">
        <x:f>I17-K17</x:f>
        <x:v>9.86596449316255</x:v>
      </x:c>
      <x:c r="M17" s="26" t="n">
        <x:f>1/(1+Assumptions!$B$2)^(B17+1)</x:f>
        <x:v>0.31991694671193643</x:v>
      </x:c>
      <x:c r="N17" s="25" t="n">
        <x:f>L17*M17</x:f>
        <x:v>3.1562892370209408</x:v>
      </x:c>
    </x:row>
    <x:row r="18">
      <x:c r="A18" s="17" t="n">
        <x:v>2035</x:v>
      </x:c>
      <x:c r="B18" s="17" t="n">
        <x:v>9</x:v>
      </x:c>
      <x:c r="C18" s="24" t="n">
        <x:f>$B$2+($B$3-$B$2)*(B18-1)/8</x:f>
        <x:v>0.06</x:v>
      </x:c>
      <x:c r="D18" s="25" t="n">
        <x:f>D17*(1+C18)</x:f>
        <x:v>4350.890341485026</x:v>
      </x:c>
      <x:c r="E18" s="24" t="n">
        <x:f>$B$4+($B$5-$B$4)*B18/9</x:f>
        <x:v>0.17999999999999994</x:v>
      </x:c>
      <x:c r="F18" s="25" t="n">
        <x:f>D18*E18</x:f>
        <x:v>783.1602614673044</x:v>
      </x:c>
      <x:c r="G18" s="25" t="n">
        <x:f>IF(F18&lt;0,0,MAX(F18-H17,0)*Assumptions!$B$4)</x:f>
        <x:v>0</x:v>
      </x:c>
      <x:c r="H18" s="25" t="n">
        <x:f>IF(F18&lt;0,H17-F18,MAX(H17-F18,0))</x:f>
        <x:v>5612.047255791429</x:v>
      </x:c>
      <x:c r="I18" s="25" t="n">
        <x:f>F18-G18</x:f>
        <x:v>783.1602614673044</x:v>
      </x:c>
      <x:c r="J18" s="25" t="n">
        <x:f>D18-D17</x:f>
        <x:v>246.27681178217154</x:v>
      </x:c>
      <x:c r="K18" s="25" t="n">
        <x:f>MAX(J18,0)/$B$6</x:f>
        <x:v>123.13840589108577</x:v>
      </x:c>
      <x:c r="L18" s="25" t="n">
        <x:f>I18-K18</x:f>
        <x:v>660.0218555762186</x:v>
      </x:c>
      <x:c r="M18" s="26" t="n">
        <x:f>1/(1+Assumptions!$B$2)^(B18+1)</x:f>
        <x:v>0.2818651512880497</x:v>
      </x:c>
      <x:c r="N18" s="25" t="n">
        <x:f>L18*M18</x:f>
        <x:v>186.03716017541015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 t="inlineStr">
        <x:is>
          <x:t xml:space="preserve">Sum PV (explicit)</x:t>
        </x:is>
      </x:c>
      <x:c r="B20" s="25" t="n">
        <x:f>SUM(N9:N18)</x:f>
        <x:v>-4855.447642296158</x:v>
      </x:c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 t="inlineStr">
        <x:is>
          <x:t xml:space="preserve">Terminal value</x:t>
        </x:is>
      </x:c>
      <x:c r="B21" s="25" t="n">
        <x:f>L18*(1+Assumptions!$B$3)/(Assumptions!$B$2-Assumptions!$B$3)</x:f>
        <x:v>7225.502418939656</x:v>
      </x:c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 t="inlineStr">
        <x:is>
          <x:t xml:space="preserve">PV terminal</x:t>
        </x:is>
      </x:c>
      <x:c r="B22" s="25" t="n">
        <x:f>B21*M18</x:f>
        <x:v>2036.6173324465951</x:v>
      </x:c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 t="inlineStr">
        <x:is>
          <x:t xml:space="preserve">Enterprise value</x:t>
        </x:is>
      </x:c>
      <x:c r="B23" s="25" t="n">
        <x:f>B20+B22</x:f>
        <x:v>-2818.8303098495626</x:v>
      </x:c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 t="inlineStr">
        <x:is>
          <x:t xml:space="preserve">Equity value (US$m)</x:t>
        </x:is>
      </x:c>
      <x:c r="B24" s="25" t="n">
        <x:f>B23+Assumptions!$B$7</x:f>
        <x:v>3474.01993092921</x:v>
      </x:c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 t="inlineStr">
        <x:is>
          <x:t xml:space="preserve">Per share (US$)</x:t>
        </x:is>
      </x:c>
      <x:c r="B25" s="25" t="n">
        <x:f>B24/Assumptions!$B$5</x:f>
        <x:v>7.124907277635124</x:v>
      </x:c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 t="inlineStr">
        <x:is>
          <x:t xml:space="preserve">Per share (HK$)</x:t>
        </x:is>
      </x:c>
      <x:c r="B26" s="25" t="n">
        <x:f>B25*Assumptions!$B$6</x:f>
        <x:v>55.57427676555397</x:v>
      </x:c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20" t="inlineStr">
        <x:is>
          <x:t xml:space="preserve">DCF - Base scenario</x:t>
        </x:is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>
      <x:c r="A2" s="17" t="inlineStr">
        <x:is>
          <x:t xml:space="preserve">growth start (2027)</x:t>
        </x:is>
      </x:c>
      <x:c r="B2" s="24" t="n">
        <x:v>0.5600000000000001</x:v>
      </x:c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7" t="inlineStr">
        <x:is>
          <x:t xml:space="preserve">growth end (2035)</x:t>
        </x:is>
      </x:c>
      <x:c r="B3" s="24" t="n">
        <x:v>0.08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 t="inlineStr">
        <x:is>
          <x:t xml:space="preserve">start op margin</x:t>
        </x:is>
      </x:c>
      <x:c r="B4" s="24" t="n">
        <x:v>-1</x:v>
      </x:c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A5" s="17" t="inlineStr">
        <x:is>
          <x:t xml:space="preserve">terminal op margin</x:t>
        </x:is>
      </x:c>
      <x:c r="B5" s="24" t="n">
        <x:v>0.28</x:v>
      </x:c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</x:row>
    <x:row r="6">
      <x:c r="A6" s="17" t="inlineStr">
        <x:is>
          <x:t xml:space="preserve">sales-to-capital</x:t>
        </x:is>
      </x:c>
      <x:c r="B6" s="17" t="n">
        <x:v>1.8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</x:row>
    <x:row r="8" ht="28" customHeight="1">
      <x:c r="A8" s="23" t="inlineStr">
        <x:is>
          <x:t xml:space="preserve">Year</x:t>
        </x:is>
      </x:c>
      <x:c r="B8" s="23" t="inlineStr">
        <x:is>
          <x:t xml:space="preserve">i</x:t>
        </x:is>
      </x:c>
      <x:c r="C8" s="23" t="inlineStr">
        <x:is>
          <x:t xml:space="preserve">growth</x:t>
        </x:is>
      </x:c>
      <x:c r="D8" s="23" t="inlineStr">
        <x:is>
          <x:t xml:space="preserve">revenue</x:t>
        </x:is>
      </x:c>
      <x:c r="E8" s="23" t="inlineStr">
        <x:is>
          <x:t xml:space="preserve">op margin</x:t>
        </x:is>
      </x:c>
      <x:c r="F8" s="23" t="inlineStr">
        <x:is>
          <x:t xml:space="preserve">EBIT</x:t>
        </x:is>
      </x:c>
      <x:c r="G8" s="23" t="inlineStr">
        <x:is>
          <x:t xml:space="preserve">cash tax</x:t>
        </x:is>
      </x:c>
      <x:c r="H8" s="23" t="inlineStr">
        <x:is>
          <x:t xml:space="preserve">NOL end</x:t>
        </x:is>
      </x:c>
      <x:c r="I8" s="23" t="inlineStr">
        <x:is>
          <x:t xml:space="preserve">NOPAT</x:t>
        </x:is>
      </x:c>
      <x:c r="J8" s="23" t="inlineStr">
        <x:is>
          <x:t xml:space="preserve">dRev</x:t>
        </x:is>
      </x:c>
      <x:c r="K8" s="23" t="inlineStr">
        <x:is>
          <x:t xml:space="preserve">reinvest</x:t>
        </x:is>
      </x:c>
      <x:c r="L8" s="23" t="inlineStr">
        <x:is>
          <x:t xml:space="preserve">FCFF</x:t>
        </x:is>
      </x:c>
      <x:c r="M8" s="23" t="inlineStr">
        <x:is>
          <x:t xml:space="preserve">disc</x:t>
        </x:is>
      </x:c>
      <x:c r="N8" s="23" t="inlineStr">
        <x:is>
          <x:t xml:space="preserve">PV</x:t>
        </x:is>
      </x:c>
    </x:row>
    <x:row r="9">
      <x:c r="A9" s="17" t="n">
        <x:v>2026</x:v>
      </x:c>
      <x:c r="B9" s="17" t="n">
        <x:v>0</x:v>
      </x:c>
      <x:c r="C9" s="24" t="n">
        <x:f>Assumptions!$B$11/Assumptions!$B$10-1</x:f>
        <x:v>5.862745098039215</x:v>
      </x:c>
      <x:c r="D9" s="25" t="n">
        <x:f>Assumptions!$B$11</x:f>
        <x:v>700</x:v>
      </x:c>
      <x:c r="E9" s="24" t="n">
        <x:f>$B$4+($B$5-$B$4)*B9/9</x:f>
        <x:v>-1</x:v>
      </x:c>
      <x:c r="F9" s="25" t="n">
        <x:f>D9*E9</x:f>
        <x:v>-700</x:v>
      </x:c>
      <x:c r="G9" s="25" t="n">
        <x:f>IF(F9&lt;0,0,MAX(F9-0,0)*Assumptions!$B$4)</x:f>
        <x:v>0</x:v>
      </x:c>
      <x:c r="H9" s="25" t="n">
        <x:f>IF(F9&lt;0,0-F9,MAX(0-F9,0))</x:f>
        <x:v>700</x:v>
      </x:c>
      <x:c r="I9" s="25" t="n">
        <x:f>F9-G9</x:f>
        <x:v>-700</x:v>
      </x:c>
      <x:c r="J9" s="25" t="n">
        <x:f>D9-Assumptions!$B$10</x:f>
        <x:v>598</x:v>
      </x:c>
      <x:c r="K9" s="25" t="n">
        <x:f>MAX(J9,0)/$B$6</x:f>
        <x:v>332.22222222222223</x:v>
      </x:c>
      <x:c r="L9" s="25" t="n">
        <x:f>I9-K9</x:f>
        <x:v>-1032.2222222222222</x:v>
      </x:c>
      <x:c r="M9" s="26" t="n">
        <x:f>1/(1+Assumptions!$B$2)^(B9+1)</x:f>
        <x:v>0.8810572687224669</x:v>
      </x:c>
      <x:c r="N9" s="25" t="n">
        <x:f>L9*M9</x:f>
        <x:v>-909.4468918257463</x:v>
      </x:c>
    </x:row>
    <x:row r="10">
      <x:c r="A10" s="17" t="n">
        <x:v>2027</x:v>
      </x:c>
      <x:c r="B10" s="17" t="n">
        <x:v>1</x:v>
      </x:c>
      <x:c r="C10" s="24" t="n">
        <x:f>$B$2+($B$3-$B$2)*(B10-1)/8</x:f>
        <x:v>0.56</x:v>
      </x:c>
      <x:c r="D10" s="25" t="n">
        <x:f>D9*(1+C10)</x:f>
        <x:v>1092</x:v>
      </x:c>
      <x:c r="E10" s="24" t="n">
        <x:f>$B$4+($B$5-$B$4)*B10/9</x:f>
        <x:v>-0.8577777777777778</x:v>
      </x:c>
      <x:c r="F10" s="25" t="n">
        <x:f>D10*E10</x:f>
        <x:v>-936.6933333333333</x:v>
      </x:c>
      <x:c r="G10" s="25" t="n">
        <x:f>IF(F10&lt;0,0,MAX(F10-H9,0)*Assumptions!$B$4)</x:f>
        <x:v>0</x:v>
      </x:c>
      <x:c r="H10" s="25" t="n">
        <x:f>IF(F10&lt;0,H9-F10,MAX(H9-F10,0))</x:f>
        <x:v>1636.6933333333332</x:v>
      </x:c>
      <x:c r="I10" s="25" t="n">
        <x:f>F10-G10</x:f>
        <x:v>-936.6933333333333</x:v>
      </x:c>
      <x:c r="J10" s="25" t="n">
        <x:f>D10-D9</x:f>
        <x:v>392</x:v>
      </x:c>
      <x:c r="K10" s="25" t="n">
        <x:f>MAX(J10,0)/$B$6</x:f>
        <x:v>217.77777777777777</x:v>
      </x:c>
      <x:c r="L10" s="25" t="n">
        <x:f>I10-K10</x:f>
        <x:v>-1154.471111111111</x:v>
      </x:c>
      <x:c r="M10" s="26" t="n">
        <x:f>1/(1+Assumptions!$B$2)^(B10+1)</x:f>
        <x:v>0.7762619107686933</x:v>
      </x:c>
      <x:c r="N10" s="25" t="n">
        <x:f>L10*M10</x:f>
        <x:v>-896.1719506383674</x:v>
      </x:c>
    </x:row>
    <x:row r="11">
      <x:c r="A11" s="17" t="n">
        <x:v>2028</x:v>
      </x:c>
      <x:c r="B11" s="17" t="n">
        <x:v>2</x:v>
      </x:c>
      <x:c r="C11" s="24" t="n">
        <x:f>$B$2+($B$3-$B$2)*(B11-1)/8</x:f>
        <x:v>0.5</x:v>
      </x:c>
      <x:c r="D11" s="25" t="n">
        <x:f>D10*(1+C11)</x:f>
        <x:v>1638</x:v>
      </x:c>
      <x:c r="E11" s="24" t="n">
        <x:f>$B$4+($B$5-$B$4)*B11/9</x:f>
        <x:v>-0.7155555555555555</x:v>
      </x:c>
      <x:c r="F11" s="25" t="n">
        <x:f>D11*E11</x:f>
        <x:v>-1172.08</x:v>
      </x:c>
      <x:c r="G11" s="25" t="n">
        <x:f>IF(F11&lt;0,0,MAX(F11-H10,0)*Assumptions!$B$4)</x:f>
        <x:v>0</x:v>
      </x:c>
      <x:c r="H11" s="25" t="n">
        <x:f>IF(F11&lt;0,H10-F11,MAX(H10-F11,0))</x:f>
        <x:v>2808.773333333333</x:v>
      </x:c>
      <x:c r="I11" s="25" t="n">
        <x:f>F11-G11</x:f>
        <x:v>-1172.08</x:v>
      </x:c>
      <x:c r="J11" s="25" t="n">
        <x:f>D11-D10</x:f>
        <x:v>546</x:v>
      </x:c>
      <x:c r="K11" s="25" t="n">
        <x:f>MAX(J11,0)/$B$6</x:f>
        <x:v>303.3333333333333</x:v>
      </x:c>
      <x:c r="L11" s="25" t="n">
        <x:f>I11-K11</x:f>
        <x:v>-1475.4133333333332</x:v>
      </x:c>
      <x:c r="M11" s="26" t="n">
        <x:f>1/(1+Assumptions!$B$2)^(B11+1)</x:f>
        <x:v>0.6839311989151483</x:v>
      </x:c>
      <x:c r="N11" s="25" t="n">
        <x:f>L11*M11</x:f>
        <x:v>-1009.081209962062</x:v>
      </x:c>
    </x:row>
    <x:row r="12">
      <x:c r="A12" s="17" t="n">
        <x:v>2029</x:v>
      </x:c>
      <x:c r="B12" s="17" t="n">
        <x:v>3</x:v>
      </x:c>
      <x:c r="C12" s="24" t="n">
        <x:f>$B$2+($B$3-$B$2)*(B12-1)/8</x:f>
        <x:v>0.44000000000000006</x:v>
      </x:c>
      <x:c r="D12" s="25" t="n">
        <x:f>D11*(1+C12)</x:f>
        <x:v>2358.72</x:v>
      </x:c>
      <x:c r="E12" s="24" t="n">
        <x:f>$B$4+($B$5-$B$4)*B12/9</x:f>
        <x:v>-0.5733333333333334</x:v>
      </x:c>
      <x:c r="F12" s="25" t="n">
        <x:f>D12*E12</x:f>
        <x:v>-1352.3328</x:v>
      </x:c>
      <x:c r="G12" s="25" t="n">
        <x:f>IF(F12&lt;0,0,MAX(F12-H11,0)*Assumptions!$B$4)</x:f>
        <x:v>0</x:v>
      </x:c>
      <x:c r="H12" s="25" t="n">
        <x:f>IF(F12&lt;0,H11-F12,MAX(H11-F12,0))</x:f>
        <x:v>4161.106133333333</x:v>
      </x:c>
      <x:c r="I12" s="25" t="n">
        <x:f>F12-G12</x:f>
        <x:v>-1352.3328</x:v>
      </x:c>
      <x:c r="J12" s="25" t="n">
        <x:f>D12-D11</x:f>
        <x:v>720.7199999999998</x:v>
      </x:c>
      <x:c r="K12" s="25" t="n">
        <x:f>MAX(J12,0)/$B$6</x:f>
        <x:v>400.39999999999986</x:v>
      </x:c>
      <x:c r="L12" s="25" t="n">
        <x:f>I12-K12</x:f>
        <x:v>-1752.7327999999998</x:v>
      </x:c>
      <x:c r="M12" s="26" t="n">
        <x:f>1/(1+Assumptions!$B$2)^(B12+1)</x:f>
        <x:v>0.6025825541102628</x:v>
      </x:c>
      <x:c r="N12" s="25" t="n">
        <x:f>L12*M12</x:f>
        <x:v>-1056.1662072968325</x:v>
      </x:c>
    </x:row>
    <x:row r="13">
      <x:c r="A13" s="17" t="n">
        <x:v>2030</x:v>
      </x:c>
      <x:c r="B13" s="17" t="n">
        <x:v>4</x:v>
      </x:c>
      <x:c r="C13" s="24" t="n">
        <x:f>$B$2+($B$3-$B$2)*(B13-1)/8</x:f>
        <x:v>0.38</x:v>
      </x:c>
      <x:c r="D13" s="25" t="n">
        <x:f>D12*(1+C13)</x:f>
        <x:v>3255.0335999999993</x:v>
      </x:c>
      <x:c r="E13" s="24" t="n">
        <x:f>$B$4+($B$5-$B$4)*B13/9</x:f>
        <x:v>-0.4311111111111111</x:v>
      </x:c>
      <x:c r="F13" s="25" t="n">
        <x:f>D13*E13</x:f>
        <x:v>-1403.2811519999998</x:v>
      </x:c>
      <x:c r="G13" s="25" t="n">
        <x:f>IF(F13&lt;0,0,MAX(F13-H12,0)*Assumptions!$B$4)</x:f>
        <x:v>0</x:v>
      </x:c>
      <x:c r="H13" s="25" t="n">
        <x:f>IF(F13&lt;0,H12-F13,MAX(H12-F13,0))</x:f>
        <x:v>5564.387285333332</x:v>
      </x:c>
      <x:c r="I13" s="25" t="n">
        <x:f>F13-G13</x:f>
        <x:v>-1403.2811519999998</x:v>
      </x:c>
      <x:c r="J13" s="25" t="n">
        <x:f>D13-D12</x:f>
        <x:v>896.3135999999995</x:v>
      </x:c>
      <x:c r="K13" s="25" t="n">
        <x:f>MAX(J13,0)/$B$6</x:f>
        <x:v>497.9519999999997</x:v>
      </x:c>
      <x:c r="L13" s="25" t="n">
        <x:f>I13-K13</x:f>
        <x:v>-1901.2331519999996</x:v>
      </x:c>
      <x:c r="M13" s="26" t="n">
        <x:f>1/(1+Assumptions!$B$2)^(B13+1)</x:f>
        <x:v>0.5309097393041963</x:v>
      </x:c>
      <x:c r="N13" s="25" t="n">
        <x:f>L13*M13</x:f>
        <x:v>-1009.3831970848152</x:v>
      </x:c>
    </x:row>
    <x:row r="14">
      <x:c r="A14" s="17" t="n">
        <x:v>2031</x:v>
      </x:c>
      <x:c r="B14" s="17" t="n">
        <x:v>5</x:v>
      </x:c>
      <x:c r="C14" s="24" t="n">
        <x:f>$B$2+($B$3-$B$2)*(B14-1)/8</x:f>
        <x:v>0.32000000000000006</x:v>
      </x:c>
      <x:c r="D14" s="25" t="n">
        <x:f>D13*(1+C14)</x:f>
        <x:v>4296.644351999999</x:v>
      </x:c>
      <x:c r="E14" s="24" t="n">
        <x:f>$B$4+($B$5-$B$4)*B14/9</x:f>
        <x:v>-0.28888888888888886</x:v>
      </x:c>
      <x:c r="F14" s="25" t="n">
        <x:f>D14*E14</x:f>
        <x:v>-1241.2528127999997</x:v>
      </x:c>
      <x:c r="G14" s="25" t="n">
        <x:f>IF(F14&lt;0,0,MAX(F14-H13,0)*Assumptions!$B$4)</x:f>
        <x:v>0</x:v>
      </x:c>
      <x:c r="H14" s="25" t="n">
        <x:f>IF(F14&lt;0,H13-F14,MAX(H13-F14,0))</x:f>
        <x:v>6805.640098133332</x:v>
      </x:c>
      <x:c r="I14" s="25" t="n">
        <x:f>F14-G14</x:f>
        <x:v>-1241.2528127999997</x:v>
      </x:c>
      <x:c r="J14" s="25" t="n">
        <x:f>D14-D13</x:f>
        <x:v>1041.610752</x:v>
      </x:c>
      <x:c r="K14" s="25" t="n">
        <x:f>MAX(J14,0)/$B$6</x:f>
        <x:v>578.67264</x:v>
      </x:c>
      <x:c r="L14" s="25" t="n">
        <x:f>I14-K14</x:f>
        <x:v>-1819.9254527999997</x:v>
      </x:c>
      <x:c r="M14" s="26" t="n">
        <x:f>1/(1+Assumptions!$B$2)^(B14+1)</x:f>
        <x:v>0.4677618848495122</x:v>
      </x:c>
      <x:c r="N14" s="25" t="n">
        <x:f>L14*M14</x:f>
        <x:v>-851.2917600873297</x:v>
      </x:c>
    </x:row>
    <x:row r="15">
      <x:c r="A15" s="17" t="n">
        <x:v>2032</x:v>
      </x:c>
      <x:c r="B15" s="17" t="n">
        <x:v>6</x:v>
      </x:c>
      <x:c r="C15" s="24" t="n">
        <x:f>$B$2+($B$3-$B$2)*(B15-1)/8</x:f>
        <x:v>0.26</x:v>
      </x:c>
      <x:c r="D15" s="25" t="n">
        <x:f>D14*(1+C15)</x:f>
        <x:v>5413.771883519999</x:v>
      </x:c>
      <x:c r="E15" s="24" t="n">
        <x:f>$B$4+($B$5-$B$4)*B15/9</x:f>
        <x:v>-0.14666666666666672</x:v>
      </x:c>
      <x:c r="F15" s="25" t="n">
        <x:f>D15*E15</x:f>
        <x:v>-794.0198762496002</x:v>
      </x:c>
      <x:c r="G15" s="25" t="n">
        <x:f>IF(F15&lt;0,0,MAX(F15-H14,0)*Assumptions!$B$4)</x:f>
        <x:v>0</x:v>
      </x:c>
      <x:c r="H15" s="25" t="n">
        <x:f>IF(F15&lt;0,H14-F15,MAX(H14-F15,0))</x:f>
        <x:v>7599.659974382932</x:v>
      </x:c>
      <x:c r="I15" s="25" t="n">
        <x:f>F15-G15</x:f>
        <x:v>-794.0198762496002</x:v>
      </x:c>
      <x:c r="J15" s="25" t="n">
        <x:f>D15-D14</x:f>
        <x:v>1117.12753152</x:v>
      </x:c>
      <x:c r="K15" s="25" t="n">
        <x:f>MAX(J15,0)/$B$6</x:f>
        <x:v>620.6264064000001</x:v>
      </x:c>
      <x:c r="L15" s="25" t="n">
        <x:f>I15-K15</x:f>
        <x:v>-1414.6462826496004</x:v>
      </x:c>
      <x:c r="M15" s="26" t="n">
        <x:f>1/(1+Assumptions!$B$2)^(B15+1)</x:f>
        <x:v>0.41212500867798435</x:v>
      </x:c>
      <x:c r="N15" s="25" t="n">
        <x:f>L15*M15</x:f>
        <x:v>-583.0111115132448</x:v>
      </x:c>
    </x:row>
    <x:row r="16">
      <x:c r="A16" s="17" t="n">
        <x:v>2033</x:v>
      </x:c>
      <x:c r="B16" s="17" t="n">
        <x:v>7</x:v>
      </x:c>
      <x:c r="C16" s="24" t="n">
        <x:f>$B$2+($B$3-$B$2)*(B16-1)/8</x:f>
        <x:v>0.2</x:v>
      </x:c>
      <x:c r="D16" s="25" t="n">
        <x:f>D15*(1+C16)</x:f>
        <x:v>6496.526260223999</x:v>
      </x:c>
      <x:c r="E16" s="24" t="n">
        <x:f>$B$4+($B$5-$B$4)*B16/9</x:f>
        <x:v>-0.004444444444444362</x:v>
      </x:c>
      <x:c r="F16" s="25" t="n">
        <x:f>D16*E16</x:f>
        <x:v>-28.873450045439462</x:v>
      </x:c>
      <x:c r="G16" s="25" t="n">
        <x:f>IF(F16&lt;0,0,MAX(F16-H15,0)*Assumptions!$B$4)</x:f>
        <x:v>0</x:v>
      </x:c>
      <x:c r="H16" s="25" t="n">
        <x:f>IF(F16&lt;0,H15-F16,MAX(H15-F16,0))</x:f>
        <x:v>7628.533424428371</x:v>
      </x:c>
      <x:c r="I16" s="25" t="n">
        <x:f>F16-G16</x:f>
        <x:v>-28.873450045439462</x:v>
      </x:c>
      <x:c r="J16" s="25" t="n">
        <x:f>D16-D15</x:f>
        <x:v>1082.7543767039997</x:v>
      </x:c>
      <x:c r="K16" s="25" t="n">
        <x:f>MAX(J16,0)/$B$6</x:f>
        <x:v>601.5302092799998</x:v>
      </x:c>
      <x:c r="L16" s="25" t="n">
        <x:f>I16-K16</x:f>
        <x:v>-630.4036593254392</x:v>
      </x:c>
      <x:c r="M16" s="26" t="n">
        <x:f>1/(1+Assumptions!$B$2)^(B16+1)</x:f>
        <x:v>0.36310573451804784</x:v>
      </x:c>
      <x:c r="N16" s="25" t="n">
        <x:f>L16*M16</x:f>
        <x:v>-228.9031837622288</x:v>
      </x:c>
    </x:row>
    <x:row r="17">
      <x:c r="A17" s="17" t="n">
        <x:v>2034</x:v>
      </x:c>
      <x:c r="B17" s="17" t="n">
        <x:v>8</x:v>
      </x:c>
      <x:c r="C17" s="24" t="n">
        <x:f>$B$2+($B$3-$B$2)*(B17-1)/8</x:f>
        <x:v>0.14</x:v>
      </x:c>
      <x:c r="D17" s="25" t="n">
        <x:f>D16*(1+C17)</x:f>
        <x:v>7406.03993665536</x:v>
      </x:c>
      <x:c r="E17" s="24" t="n">
        <x:f>$B$4+($B$5-$B$4)*B17/9</x:f>
        <x:v>0.13777777777777778</x:v>
      </x:c>
      <x:c r="F17" s="25" t="n">
        <x:f>D17*E17</x:f>
        <x:v>1020.3877246058496</x:v>
      </x:c>
      <x:c r="G17" s="25" t="n">
        <x:f>IF(F17&lt;0,0,MAX(F17-H16,0)*Assumptions!$B$4)</x:f>
        <x:v>0</x:v>
      </x:c>
      <x:c r="H17" s="25" t="n">
        <x:f>IF(F17&lt;0,H16-F17,MAX(H16-F17,0))</x:f>
        <x:v>6608.145699822522</x:v>
      </x:c>
      <x:c r="I17" s="25" t="n">
        <x:f>F17-G17</x:f>
        <x:v>1020.3877246058496</x:v>
      </x:c>
      <x:c r="J17" s="25" t="n">
        <x:f>D17-D16</x:f>
        <x:v>909.5136764313611</x:v>
      </x:c>
      <x:c r="K17" s="25" t="n">
        <x:f>MAX(J17,0)/$B$6</x:f>
        <x:v>505.2853757952006</x:v>
      </x:c>
      <x:c r="L17" s="25" t="n">
        <x:f>I17-K17</x:f>
        <x:v>515.102348810649</x:v>
      </x:c>
      <x:c r="M17" s="26" t="n">
        <x:f>1/(1+Assumptions!$B$2)^(B17+1)</x:f>
        <x:v>0.31991694671193643</x:v>
      </x:c>
      <x:c r="N17" s="25" t="n">
        <x:f>L17*M17</x:f>
        <x:v>164.7899706756497</x:v>
      </x:c>
    </x:row>
    <x:row r="18">
      <x:c r="A18" s="17" t="n">
        <x:v>2035</x:v>
      </x:c>
      <x:c r="B18" s="17" t="n">
        <x:v>9</x:v>
      </x:c>
      <x:c r="C18" s="24" t="n">
        <x:f>$B$2+($B$3-$B$2)*(B18-1)/8</x:f>
        <x:v>0.08000000000000002</x:v>
      </x:c>
      <x:c r="D18" s="25" t="n">
        <x:f>D17*(1+C18)</x:f>
        <x:v>7998.523131587789</x:v>
      </x:c>
      <x:c r="E18" s="24" t="n">
        <x:f>$B$4+($B$5-$B$4)*B18/9</x:f>
        <x:v>0.28</x:v>
      </x:c>
      <x:c r="F18" s="25" t="n">
        <x:f>D18*E18</x:f>
        <x:v>2239.5864768445813</x:v>
      </x:c>
      <x:c r="G18" s="25" t="n">
        <x:f>IF(F18&lt;0,0,MAX(F18-H17,0)*Assumptions!$B$4)</x:f>
        <x:v>0</x:v>
      </x:c>
      <x:c r="H18" s="25" t="n">
        <x:f>IF(F18&lt;0,H17-F18,MAX(H17-F18,0))</x:f>
        <x:v>4368.559222977941</x:v>
      </x:c>
      <x:c r="I18" s="25" t="n">
        <x:f>F18-G18</x:f>
        <x:v>2239.5864768445813</x:v>
      </x:c>
      <x:c r="J18" s="25" t="n">
        <x:f>D18-D17</x:f>
        <x:v>592.4831949324289</x:v>
      </x:c>
      <x:c r="K18" s="25" t="n">
        <x:f>MAX(J18,0)/$B$6</x:f>
        <x:v>329.15733051801607</x:v>
      </x:c>
      <x:c r="L18" s="25" t="n">
        <x:f>I18-K18</x:f>
        <x:v>1910.4291463265652</x:v>
      </x:c>
      <x:c r="M18" s="26" t="n">
        <x:f>1/(1+Assumptions!$B$2)^(B18+1)</x:f>
        <x:v>0.2818651512880497</x:v>
      </x:c>
      <x:c r="N18" s="25" t="n">
        <x:f>L18*M18</x:f>
        <x:v>538.4834003544369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 t="inlineStr">
        <x:is>
          <x:t xml:space="preserve">Sum PV (explicit)</x:t>
        </x:is>
      </x:c>
      <x:c r="B20" s="25" t="n">
        <x:f>SUM(N9:N18)</x:f>
        <x:v>-5840.182141140541</x:v>
      </x:c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 t="inlineStr">
        <x:is>
          <x:t xml:space="preserve">Terminal value</x:t>
        </x:is>
      </x:c>
      <x:c r="B21" s="25" t="n">
        <x:f>L18*(1+Assumptions!$B$3)/(Assumptions!$B$2-Assumptions!$B$3)</x:f>
        <x:v>20914.171707153975</x:v>
      </x:c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 t="inlineStr">
        <x:is>
          <x:t xml:space="preserve">PV terminal</x:t>
        </x:is>
      </x:c>
      <x:c r="B22" s="25" t="n">
        <x:f>B21*M18</x:f>
        <x:v>5894.976172301203</x:v>
      </x:c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 t="inlineStr">
        <x:is>
          <x:t xml:space="preserve">Enterprise value</x:t>
        </x:is>
      </x:c>
      <x:c r="B23" s="25" t="n">
        <x:f>B20+B22</x:f>
        <x:v>54.7940311606626</x:v>
      </x:c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 t="inlineStr">
        <x:is>
          <x:t xml:space="preserve">Equity value (US$m)</x:t>
        </x:is>
      </x:c>
      <x:c r="B24" s="25" t="n">
        <x:f>B23+Assumptions!$B$7</x:f>
        <x:v>6347.644271939435</x:v>
      </x:c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 t="inlineStr">
        <x:is>
          <x:t xml:space="preserve">Per share (US$)</x:t>
        </x:is>
      </x:c>
      <x:c r="B25" s="25" t="n">
        <x:f>B24/Assumptions!$B$5</x:f>
        <x:v>13.018456361268864</x:v>
      </x:c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 t="inlineStr">
        <x:is>
          <x:t xml:space="preserve">Per share (HK$)</x:t>
        </x:is>
      </x:c>
      <x:c r="B26" s="25" t="n">
        <x:f>B25*Assumptions!$B$6</x:f>
        <x:v>101.54395961789714</x:v>
      </x:c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20" t="inlineStr">
        <x:is>
          <x:t xml:space="preserve">DCF - Bull scenario</x:t>
        </x:is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>
      <x:c r="A2" s="17" t="inlineStr">
        <x:is>
          <x:t xml:space="preserve">growth start (2027)</x:t>
        </x:is>
      </x:c>
      <x:c r="B2" s="24" t="n">
        <x:v>0.85</x:v>
      </x:c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7" t="inlineStr">
        <x:is>
          <x:t xml:space="preserve">growth end (2035)</x:t>
        </x:is>
      </x:c>
      <x:c r="B3" s="24" t="n">
        <x:v>0.12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 t="inlineStr">
        <x:is>
          <x:t xml:space="preserve">start op margin</x:t>
        </x:is>
      </x:c>
      <x:c r="B4" s="24" t="n">
        <x:v>-1</x:v>
      </x:c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A5" s="17" t="inlineStr">
        <x:is>
          <x:t xml:space="preserve">terminal op margin</x:t>
        </x:is>
      </x:c>
      <x:c r="B5" s="24" t="n">
        <x:v>0.35</x:v>
      </x:c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</x:row>
    <x:row r="6">
      <x:c r="A6" s="17" t="inlineStr">
        <x:is>
          <x:t xml:space="preserve">sales-to-capital</x:t>
        </x:is>
      </x:c>
      <x:c r="B6" s="17" t="n">
        <x:v>1.6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</x:row>
    <x:row r="8" ht="28" customHeight="1">
      <x:c r="A8" s="23" t="inlineStr">
        <x:is>
          <x:t xml:space="preserve">Year</x:t>
        </x:is>
      </x:c>
      <x:c r="B8" s="23" t="inlineStr">
        <x:is>
          <x:t xml:space="preserve">i</x:t>
        </x:is>
      </x:c>
      <x:c r="C8" s="23" t="inlineStr">
        <x:is>
          <x:t xml:space="preserve">growth</x:t>
        </x:is>
      </x:c>
      <x:c r="D8" s="23" t="inlineStr">
        <x:is>
          <x:t xml:space="preserve">revenue</x:t>
        </x:is>
      </x:c>
      <x:c r="E8" s="23" t="inlineStr">
        <x:is>
          <x:t xml:space="preserve">op margin</x:t>
        </x:is>
      </x:c>
      <x:c r="F8" s="23" t="inlineStr">
        <x:is>
          <x:t xml:space="preserve">EBIT</x:t>
        </x:is>
      </x:c>
      <x:c r="G8" s="23" t="inlineStr">
        <x:is>
          <x:t xml:space="preserve">cash tax</x:t>
        </x:is>
      </x:c>
      <x:c r="H8" s="23" t="inlineStr">
        <x:is>
          <x:t xml:space="preserve">NOL end</x:t>
        </x:is>
      </x:c>
      <x:c r="I8" s="23" t="inlineStr">
        <x:is>
          <x:t xml:space="preserve">NOPAT</x:t>
        </x:is>
      </x:c>
      <x:c r="J8" s="23" t="inlineStr">
        <x:is>
          <x:t xml:space="preserve">dRev</x:t>
        </x:is>
      </x:c>
      <x:c r="K8" s="23" t="inlineStr">
        <x:is>
          <x:t xml:space="preserve">reinvest</x:t>
        </x:is>
      </x:c>
      <x:c r="L8" s="23" t="inlineStr">
        <x:is>
          <x:t xml:space="preserve">FCFF</x:t>
        </x:is>
      </x:c>
      <x:c r="M8" s="23" t="inlineStr">
        <x:is>
          <x:t xml:space="preserve">disc</x:t>
        </x:is>
      </x:c>
      <x:c r="N8" s="23" t="inlineStr">
        <x:is>
          <x:t xml:space="preserve">PV</x:t>
        </x:is>
      </x:c>
    </x:row>
    <x:row r="9">
      <x:c r="A9" s="17" t="n">
        <x:v>2026</x:v>
      </x:c>
      <x:c r="B9" s="17" t="n">
        <x:v>0</x:v>
      </x:c>
      <x:c r="C9" s="24" t="n">
        <x:f>Assumptions!$B$11/Assumptions!$B$10-1</x:f>
        <x:v>5.862745098039215</x:v>
      </x:c>
      <x:c r="D9" s="25" t="n">
        <x:f>Assumptions!$B$11</x:f>
        <x:v>700</x:v>
      </x:c>
      <x:c r="E9" s="24" t="n">
        <x:f>$B$4+($B$5-$B$4)*B9/9</x:f>
        <x:v>-1</x:v>
      </x:c>
      <x:c r="F9" s="25" t="n">
        <x:f>D9*E9</x:f>
        <x:v>-700</x:v>
      </x:c>
      <x:c r="G9" s="25" t="n">
        <x:f>IF(F9&lt;0,0,MAX(F9-0,0)*Assumptions!$B$4)</x:f>
        <x:v>0</x:v>
      </x:c>
      <x:c r="H9" s="25" t="n">
        <x:f>IF(F9&lt;0,0-F9,MAX(0-F9,0))</x:f>
        <x:v>700</x:v>
      </x:c>
      <x:c r="I9" s="25" t="n">
        <x:f>F9-G9</x:f>
        <x:v>-700</x:v>
      </x:c>
      <x:c r="J9" s="25" t="n">
        <x:f>D9-Assumptions!$B$10</x:f>
        <x:v>598</x:v>
      </x:c>
      <x:c r="K9" s="25" t="n">
        <x:f>MAX(J9,0)/$B$6</x:f>
        <x:v>373.75</x:v>
      </x:c>
      <x:c r="L9" s="25" t="n">
        <x:f>I9-K9</x:f>
        <x:v>-1073.75</x:v>
      </x:c>
      <x:c r="M9" s="26" t="n">
        <x:f>1/(1+Assumptions!$B$2)^(B9+1)</x:f>
        <x:v>0.8810572687224669</x:v>
      </x:c>
      <x:c r="N9" s="25" t="n">
        <x:f>L9*M9</x:f>
        <x:v>-946.0352422907489</x:v>
      </x:c>
    </x:row>
    <x:row r="10">
      <x:c r="A10" s="17" t="n">
        <x:v>2027</x:v>
      </x:c>
      <x:c r="B10" s="17" t="n">
        <x:v>1</x:v>
      </x:c>
      <x:c r="C10" s="24" t="n">
        <x:f>$B$2+($B$3-$B$2)*(B10-1)/8</x:f>
        <x:v>0.85</x:v>
      </x:c>
      <x:c r="D10" s="25" t="n">
        <x:f>D9*(1+C10)</x:f>
        <x:v>1295</x:v>
      </x:c>
      <x:c r="E10" s="24" t="n">
        <x:f>$B$4+($B$5-$B$4)*B10/9</x:f>
        <x:v>-0.85</x:v>
      </x:c>
      <x:c r="F10" s="25" t="n">
        <x:f>D10*E10</x:f>
        <x:v>-1100.75</x:v>
      </x:c>
      <x:c r="G10" s="25" t="n">
        <x:f>IF(F10&lt;0,0,MAX(F10-H9,0)*Assumptions!$B$4)</x:f>
        <x:v>0</x:v>
      </x:c>
      <x:c r="H10" s="25" t="n">
        <x:f>IF(F10&lt;0,H9-F10,MAX(H9-F10,0))</x:f>
        <x:v>1800.75</x:v>
      </x:c>
      <x:c r="I10" s="25" t="n">
        <x:f>F10-G10</x:f>
        <x:v>-1100.75</x:v>
      </x:c>
      <x:c r="J10" s="25" t="n">
        <x:f>D10-D9</x:f>
        <x:v>595</x:v>
      </x:c>
      <x:c r="K10" s="25" t="n">
        <x:f>MAX(J10,0)/$B$6</x:f>
        <x:v>371.875</x:v>
      </x:c>
      <x:c r="L10" s="25" t="n">
        <x:f>I10-K10</x:f>
        <x:v>-1472.625</x:v>
      </x:c>
      <x:c r="M10" s="26" t="n">
        <x:f>1/(1+Assumptions!$B$2)^(B10+1)</x:f>
        <x:v>0.7762619107686933</x:v>
      </x:c>
      <x:c r="N10" s="25" t="n">
        <x:f>L10*M10</x:f>
        <x:v>-1143.142696345747</x:v>
      </x:c>
    </x:row>
    <x:row r="11">
      <x:c r="A11" s="17" t="n">
        <x:v>2028</x:v>
      </x:c>
      <x:c r="B11" s="17" t="n">
        <x:v>2</x:v>
      </x:c>
      <x:c r="C11" s="24" t="n">
        <x:f>$B$2+($B$3-$B$2)*(B11-1)/8</x:f>
        <x:v>0.75875</x:v>
      </x:c>
      <x:c r="D11" s="25" t="n">
        <x:f>D10*(1+C11)</x:f>
        <x:v>2277.58125</x:v>
      </x:c>
      <x:c r="E11" s="24" t="n">
        <x:f>$B$4+($B$5-$B$4)*B11/9</x:f>
        <x:v>-0.7</x:v>
      </x:c>
      <x:c r="F11" s="25" t="n">
        <x:f>D11*E11</x:f>
        <x:v>-1594.306875</x:v>
      </x:c>
      <x:c r="G11" s="25" t="n">
        <x:f>IF(F11&lt;0,0,MAX(F11-H10,0)*Assumptions!$B$4)</x:f>
        <x:v>0</x:v>
      </x:c>
      <x:c r="H11" s="25" t="n">
        <x:f>IF(F11&lt;0,H10-F11,MAX(H10-F11,0))</x:f>
        <x:v>3395.056875</x:v>
      </x:c>
      <x:c r="I11" s="25" t="n">
        <x:f>F11-G11</x:f>
        <x:v>-1594.306875</x:v>
      </x:c>
      <x:c r="J11" s="25" t="n">
        <x:f>D11-D10</x:f>
        <x:v>982.5812500000002</x:v>
      </x:c>
      <x:c r="K11" s="25" t="n">
        <x:f>MAX(J11,0)/$B$6</x:f>
        <x:v>614.1132812500001</x:v>
      </x:c>
      <x:c r="L11" s="25" t="n">
        <x:f>I11-K11</x:f>
        <x:v>-2208.42015625</x:v>
      </x:c>
      <x:c r="M11" s="26" t="n">
        <x:f>1/(1+Assumptions!$B$2)^(B11+1)</x:f>
        <x:v>0.6839311989151483</x:v>
      </x:c>
      <x:c r="N11" s="25" t="n">
        <x:f>L11*M11</x:f>
        <x:v>-1510.4074451724418</x:v>
      </x:c>
    </x:row>
    <x:row r="12">
      <x:c r="A12" s="17" t="n">
        <x:v>2029</x:v>
      </x:c>
      <x:c r="B12" s="17" t="n">
        <x:v>3</x:v>
      </x:c>
      <x:c r="C12" s="24" t="n">
        <x:f>$B$2+($B$3-$B$2)*(B12-1)/8</x:f>
        <x:v>0.6675</x:v>
      </x:c>
      <x:c r="D12" s="25" t="n">
        <x:f>D11*(1+C12)</x:f>
        <x:v>3797.8667343750003</x:v>
      </x:c>
      <x:c r="E12" s="24" t="n">
        <x:f>$B$4+($B$5-$B$4)*B12/9</x:f>
        <x:v>-0.5499999999999999</x:v>
      </x:c>
      <x:c r="F12" s="25" t="n">
        <x:f>D12*E12</x:f>
        <x:v>-2088.82670390625</x:v>
      </x:c>
      <x:c r="G12" s="25" t="n">
        <x:f>IF(F12&lt;0,0,MAX(F12-H11,0)*Assumptions!$B$4)</x:f>
        <x:v>0</x:v>
      </x:c>
      <x:c r="H12" s="25" t="n">
        <x:f>IF(F12&lt;0,H11-F12,MAX(H11-F12,0))</x:f>
        <x:v>5483.8835789062505</x:v>
      </x:c>
      <x:c r="I12" s="25" t="n">
        <x:f>F12-G12</x:f>
        <x:v>-2088.82670390625</x:v>
      </x:c>
      <x:c r="J12" s="25" t="n">
        <x:f>D12-D11</x:f>
        <x:v>1520.2854843750001</x:v>
      </x:c>
      <x:c r="K12" s="25" t="n">
        <x:f>MAX(J12,0)/$B$6</x:f>
        <x:v>950.1784277343751</x:v>
      </x:c>
      <x:c r="L12" s="25" t="n">
        <x:f>I12-K12</x:f>
        <x:v>-3039.0051316406248</x:v>
      </x:c>
      <x:c r="M12" s="26" t="n">
        <x:f>1/(1+Assumptions!$B$2)^(B12+1)</x:f>
        <x:v>0.6025825541102628</x:v>
      </x:c>
      <x:c r="N12" s="25" t="n">
        <x:f>L12*M12</x:f>
        <x:v>-1831.2514741782034</x:v>
      </x:c>
    </x:row>
    <x:row r="13">
      <x:c r="A13" s="17" t="n">
        <x:v>2030</x:v>
      </x:c>
      <x:c r="B13" s="17" t="n">
        <x:v>4</x:v>
      </x:c>
      <x:c r="C13" s="24" t="n">
        <x:f>$B$2+($B$3-$B$2)*(B13-1)/8</x:f>
        <x:v>0.5762499999999999</x:v>
      </x:c>
      <x:c r="D13" s="25" t="n">
        <x:f>D12*(1+C13)</x:f>
        <x:v>5986.387440058594</x:v>
      </x:c>
      <x:c r="E13" s="24" t="n">
        <x:f>$B$4+($B$5-$B$4)*B13/9</x:f>
        <x:v>-0.3999999999999999</x:v>
      </x:c>
      <x:c r="F13" s="25" t="n">
        <x:f>D13*E13</x:f>
        <x:v>-2394.554976023437</x:v>
      </x:c>
      <x:c r="G13" s="25" t="n">
        <x:f>IF(F13&lt;0,0,MAX(F13-H12,0)*Assumptions!$B$4)</x:f>
        <x:v>0</x:v>
      </x:c>
      <x:c r="H13" s="25" t="n">
        <x:f>IF(F13&lt;0,H12-F13,MAX(H12-F13,0))</x:f>
        <x:v>7878.438554929688</x:v>
      </x:c>
      <x:c r="I13" s="25" t="n">
        <x:f>F13-G13</x:f>
        <x:v>-2394.554976023437</x:v>
      </x:c>
      <x:c r="J13" s="25" t="n">
        <x:f>D13-D12</x:f>
        <x:v>2188.5207056835934</x:v>
      </x:c>
      <x:c r="K13" s="25" t="n">
        <x:f>MAX(J13,0)/$B$6</x:f>
        <x:v>1367.8254410522459</x:v>
      </x:c>
      <x:c r="L13" s="25" t="n">
        <x:f>I13-K13</x:f>
        <x:v>-3762.380417075683</x:v>
      </x:c>
      <x:c r="M13" s="26" t="n">
        <x:f>1/(1+Assumptions!$B$2)^(B13+1)</x:f>
        <x:v>0.5309097393041963</x:v>
      </x:c>
      <x:c r="N13" s="25" t="n">
        <x:f>L13*M13</x:f>
        <x:v>-1997.484406392864</x:v>
      </x:c>
    </x:row>
    <x:row r="14">
      <x:c r="A14" s="17" t="n">
        <x:v>2031</x:v>
      </x:c>
      <x:c r="B14" s="17" t="n">
        <x:v>5</x:v>
      </x:c>
      <x:c r="C14" s="24" t="n">
        <x:f>$B$2+($B$3-$B$2)*(B14-1)/8</x:f>
        <x:v>0.485</x:v>
      </x:c>
      <x:c r="D14" s="25" t="n">
        <x:f>D13*(1+C14)</x:f>
        <x:v>8889.78534848701</x:v>
      </x:c>
      <x:c r="E14" s="24" t="n">
        <x:f>$B$4+($B$5-$B$4)*B14/9</x:f>
        <x:v>-0.25</x:v>
      </x:c>
      <x:c r="F14" s="25" t="n">
        <x:f>D14*E14</x:f>
        <x:v>-2222.4463371217525</x:v>
      </x:c>
      <x:c r="G14" s="25" t="n">
        <x:f>IF(F14&lt;0,0,MAX(F14-H13,0)*Assumptions!$B$4)</x:f>
        <x:v>0</x:v>
      </x:c>
      <x:c r="H14" s="25" t="n">
        <x:f>IF(F14&lt;0,H13-F14,MAX(H13-F14,0))</x:f>
        <x:v>10100.88489205144</x:v>
      </x:c>
      <x:c r="I14" s="25" t="n">
        <x:f>F14-G14</x:f>
        <x:v>-2222.4463371217525</x:v>
      </x:c>
      <x:c r="J14" s="25" t="n">
        <x:f>D14-D13</x:f>
        <x:v>2903.3979084284165</x:v>
      </x:c>
      <x:c r="K14" s="25" t="n">
        <x:f>MAX(J14,0)/$B$6</x:f>
        <x:v>1814.6236927677603</x:v>
      </x:c>
      <x:c r="L14" s="25" t="n">
        <x:f>I14-K14</x:f>
        <x:v>-4037.0700298895126</x:v>
      </x:c>
      <x:c r="M14" s="26" t="n">
        <x:f>1/(1+Assumptions!$B$2)^(B14+1)</x:f>
        <x:v>0.4677618848495122</x:v>
      </x:c>
      <x:c r="N14" s="25" t="n">
        <x:f>L14*M14</x:f>
        <x:v>-1888.387486450595</x:v>
      </x:c>
    </x:row>
    <x:row r="15">
      <x:c r="A15" s="17" t="n">
        <x:v>2032</x:v>
      </x:c>
      <x:c r="B15" s="17" t="n">
        <x:v>6</x:v>
      </x:c>
      <x:c r="C15" s="24" t="n">
        <x:f>$B$2+($B$3-$B$2)*(B15-1)/8</x:f>
        <x:v>0.39375</x:v>
      </x:c>
      <x:c r="D15" s="25" t="n">
        <x:f>D14*(1+C15)</x:f>
        <x:v>12390.13832945377</x:v>
      </x:c>
      <x:c r="E15" s="24" t="n">
        <x:f>$B$4+($B$5-$B$4)*B15/9</x:f>
        <x:v>-0.09999999999999987</x:v>
      </x:c>
      <x:c r="F15" s="25" t="n">
        <x:f>D15*E15</x:f>
        <x:v>-1239.0138329453753</x:v>
      </x:c>
      <x:c r="G15" s="25" t="n">
        <x:f>IF(F15&lt;0,0,MAX(F15-H14,0)*Assumptions!$B$4)</x:f>
        <x:v>0</x:v>
      </x:c>
      <x:c r="H15" s="25" t="n">
        <x:f>IF(F15&lt;0,H14-F15,MAX(H14-F15,0))</x:f>
        <x:v>11339.898724996814</x:v>
      </x:c>
      <x:c r="I15" s="25" t="n">
        <x:f>F15-G15</x:f>
        <x:v>-1239.0138329453753</x:v>
      </x:c>
      <x:c r="J15" s="25" t="n">
        <x:f>D15-D14</x:f>
        <x:v>3500.35298096676</x:v>
      </x:c>
      <x:c r="K15" s="25" t="n">
        <x:f>MAX(J15,0)/$B$6</x:f>
        <x:v>2187.720613104225</x:v>
      </x:c>
      <x:c r="L15" s="25" t="n">
        <x:f>I15-K15</x:f>
        <x:v>-3426.7344460496</x:v>
      </x:c>
      <x:c r="M15" s="26" t="n">
        <x:f>1/(1+Assumptions!$B$2)^(B15+1)</x:f>
        <x:v>0.41212500867798435</x:v>
      </x:c>
      <x:c r="N15" s="25" t="n">
        <x:f>L15*M15</x:f>
        <x:v>-1412.2429633153392</x:v>
      </x:c>
    </x:row>
    <x:row r="16">
      <x:c r="A16" s="17" t="n">
        <x:v>2033</x:v>
      </x:c>
      <x:c r="B16" s="17" t="n">
        <x:v>7</x:v>
      </x:c>
      <x:c r="C16" s="24" t="n">
        <x:f>$B$2+($B$3-$B$2)*(B16-1)/8</x:f>
        <x:v>0.3025</x:v>
      </x:c>
      <x:c r="D16" s="25" t="n">
        <x:f>D15*(1+C16)</x:f>
        <x:v>16138.155174113535</x:v>
      </x:c>
      <x:c r="E16" s="24" t="n">
        <x:f>$B$4+($B$5-$B$4)*B16/9</x:f>
        <x:v>0.050000000000000044</x:v>
      </x:c>
      <x:c r="F16" s="25" t="n">
        <x:f>D16*E16</x:f>
        <x:v>806.9077587056775</x:v>
      </x:c>
      <x:c r="G16" s="25" t="n">
        <x:f>IF(F16&lt;0,0,MAX(F16-H15,0)*Assumptions!$B$4)</x:f>
        <x:v>0</x:v>
      </x:c>
      <x:c r="H16" s="25" t="n">
        <x:f>IF(F16&lt;0,H15-F16,MAX(H15-F16,0))</x:f>
        <x:v>10532.990966291136</x:v>
      </x:c>
      <x:c r="I16" s="25" t="n">
        <x:f>F16-G16</x:f>
        <x:v>806.9077587056775</x:v>
      </x:c>
      <x:c r="J16" s="25" t="n">
        <x:f>D16-D15</x:f>
        <x:v>3748.0168446597654</x:v>
      </x:c>
      <x:c r="K16" s="25" t="n">
        <x:f>MAX(J16,0)/$B$6</x:f>
        <x:v>2342.510527912353</x:v>
      </x:c>
      <x:c r="L16" s="25" t="n">
        <x:f>I16-K16</x:f>
        <x:v>-1535.6027692066757</x:v>
      </x:c>
      <x:c r="M16" s="26" t="n">
        <x:f>1/(1+Assumptions!$B$2)^(B16+1)</x:f>
        <x:v>0.36310573451804784</x:v>
      </x:c>
      <x:c r="N16" s="25" t="n">
        <x:f>L16*M16</x:f>
        <x:v>-557.5861714407383</x:v>
      </x:c>
    </x:row>
    <x:row r="17">
      <x:c r="A17" s="17" t="n">
        <x:v>2034</x:v>
      </x:c>
      <x:c r="B17" s="17" t="n">
        <x:v>8</x:v>
      </x:c>
      <x:c r="C17" s="24" t="n">
        <x:f>$B$2+($B$3-$B$2)*(B17-1)/8</x:f>
        <x:v>0.21125000000000005</x:v>
      </x:c>
      <x:c r="D17" s="25" t="n">
        <x:f>D16*(1+C17)</x:f>
        <x:v>19547.340454645022</x:v>
      </x:c>
      <x:c r="E17" s="24" t="n">
        <x:f>$B$4+($B$5-$B$4)*B17/9</x:f>
        <x:v>0.20000000000000018</x:v>
      </x:c>
      <x:c r="F17" s="25" t="n">
        <x:f>D17*E17</x:f>
        <x:v>3909.4680909290078</x:v>
      </x:c>
      <x:c r="G17" s="25" t="n">
        <x:f>IF(F17&lt;0,0,MAX(F17-H16,0)*Assumptions!$B$4)</x:f>
        <x:v>0</x:v>
      </x:c>
      <x:c r="H17" s="25" t="n">
        <x:f>IF(F17&lt;0,H16-F17,MAX(H16-F17,0))</x:f>
        <x:v>6623.522875362129</x:v>
      </x:c>
      <x:c r="I17" s="25" t="n">
        <x:f>F17-G17</x:f>
        <x:v>3909.4680909290078</x:v>
      </x:c>
      <x:c r="J17" s="25" t="n">
        <x:f>D17-D16</x:f>
        <x:v>3409.1852805314866</x:v>
      </x:c>
      <x:c r="K17" s="25" t="n">
        <x:f>MAX(J17,0)/$B$6</x:f>
        <x:v>2130.740800332179</x:v>
      </x:c>
      <x:c r="L17" s="25" t="n">
        <x:f>I17-K17</x:f>
        <x:v>1778.7272905968289</x:v>
      </x:c>
      <x:c r="M17" s="26" t="n">
        <x:f>1/(1+Assumptions!$B$2)^(B17+1)</x:f>
        <x:v>0.31991694671193643</x:v>
      </x:c>
      <x:c r="N17" s="25" t="n">
        <x:f>L17*M17</x:f>
        <x:v>569.0450038409327</x:v>
      </x:c>
    </x:row>
    <x:row r="18">
      <x:c r="A18" s="17" t="n">
        <x:v>2035</x:v>
      </x:c>
      <x:c r="B18" s="17" t="n">
        <x:v>9</x:v>
      </x:c>
      <x:c r="C18" s="24" t="n">
        <x:f>$B$2+($B$3-$B$2)*(B18-1)/8</x:f>
        <x:v>0.12</x:v>
      </x:c>
      <x:c r="D18" s="25" t="n">
        <x:f>D17*(1+C18)</x:f>
        <x:v>21893.021309202428</x:v>
      </x:c>
      <x:c r="E18" s="24" t="n">
        <x:f>$B$4+($B$5-$B$4)*B18/9</x:f>
        <x:v>0.3500000000000001</x:v>
      </x:c>
      <x:c r="F18" s="25" t="n">
        <x:f>D18*E18</x:f>
        <x:v>7662.557458220852</x:v>
      </x:c>
      <x:c r="G18" s="25" t="n">
        <x:f>IF(F18&lt;0,0,MAX(F18-H17,0)*Assumptions!$B$4)</x:f>
        <x:v>155.85518742880848</x:v>
      </x:c>
      <x:c r="H18" s="25" t="n">
        <x:f>IF(F18&lt;0,H17-F18,MAX(H17-F18,0))</x:f>
        <x:v>0</x:v>
      </x:c>
      <x:c r="I18" s="25" t="n">
        <x:f>F18-G18</x:f>
        <x:v>7506.702270792043</x:v>
      </x:c>
      <x:c r="J18" s="25" t="n">
        <x:f>D18-D17</x:f>
        <x:v>2345.680854557406</x:v>
      </x:c>
      <x:c r="K18" s="25" t="n">
        <x:f>MAX(J18,0)/$B$6</x:f>
        <x:v>1466.0505340983786</x:v>
      </x:c>
      <x:c r="L18" s="25" t="n">
        <x:f>I18-K18</x:f>
        <x:v>6040.651736693664</x:v>
      </x:c>
      <x:c r="M18" s="26" t="n">
        <x:f>1/(1+Assumptions!$B$2)^(B18+1)</x:f>
        <x:v>0.2818651512880497</x:v>
      </x:c>
      <x:c r="N18" s="25" t="n">
        <x:f>L18*M18</x:f>
        <x:v>1702.6492156415798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 t="inlineStr">
        <x:is>
          <x:t xml:space="preserve">Sum PV (explicit)</x:t>
        </x:is>
      </x:c>
      <x:c r="B20" s="25" t="n">
        <x:f>SUM(N9:N18)</x:f>
        <x:v>-9014.843666104163</x:v>
      </x:c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 t="inlineStr">
        <x:is>
          <x:t xml:space="preserve">Terminal value</x:t>
        </x:is>
      </x:c>
      <x:c r="B21" s="25" t="n">
        <x:f>L18*(1+Assumptions!$B$3)/(Assumptions!$B$2-Assumptions!$B$3)</x:f>
        <x:v>66129.24006485696</x:v>
      </x:c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 t="inlineStr">
        <x:is>
          <x:t xml:space="preserve">PV terminal</x:t>
        </x:is>
      </x:c>
      <x:c r="B22" s="25" t="n">
        <x:f>B21*M18</x:f>
        <x:v>18639.528255444664</x:v>
      </x:c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 t="inlineStr">
        <x:is>
          <x:t xml:space="preserve">Enterprise value</x:t>
        </x:is>
      </x:c>
      <x:c r="B23" s="25" t="n">
        <x:f>B20+B22</x:f>
        <x:v>9624.6845893405</x:v>
      </x:c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 t="inlineStr">
        <x:is>
          <x:t xml:space="preserve">Equity value (US$m)</x:t>
        </x:is>
      </x:c>
      <x:c r="B24" s="25" t="n">
        <x:f>B23+Assumptions!$B$7</x:f>
        <x:v>15917.534830119273</x:v>
      </x:c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 t="inlineStr">
        <x:is>
          <x:t xml:space="preserve">Per share (US$)</x:t>
        </x:is>
      </x:c>
      <x:c r="B25" s="25" t="n">
        <x:f>B24/Assumptions!$B$5</x:f>
        <x:v>32.64545454775008</x:v>
      </x:c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 t="inlineStr">
        <x:is>
          <x:t xml:space="preserve">Per share (HK$)</x:t>
        </x:is>
      </x:c>
      <x:c r="B26" s="25" t="n">
        <x:f>B25*Assumptions!$B$6</x:f>
        <x:v>254.63454547245058</x:v>
      </x:c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36" hidden="0" customWidth="1"/>
    <x:col min="2" max="2" width="18" hidden="0" customWidth="1"/>
    <x:col min="3" max="3" width="22" hidden="0" customWidth="1"/>
    <x:col min="4" max="4" width="22" hidden="0" customWidth="1"/>
  </x:cols>
  <x:sheetData>
    <x:row r="1" ht="28" customHeight="1">
      <x:c r="A1" s="10" t="inlineStr">
        <x:is>
          <x:t xml:space="preserve">VALUATION SUMMARY</x:t>
        </x:is>
      </x:c>
      <x:c r="B1" s="10"/>
      <x:c r="C1" s="10"/>
      <x:c r="D1" s="10"/>
    </x:row>
    <x:row r="2">
      <x:c r="A2" s="29" t="inlineStr">
        <x:is>
          <x:t xml:space="preserve">Scenario</x:t>
        </x:is>
      </x:c>
      <x:c r="B2" s="29" t="inlineStr">
        <x:is>
          <x:t xml:space="preserve">Prob</x:t>
        </x:is>
      </x:c>
      <x:c r="C2" s="29" t="inlineStr">
        <x:is>
          <x:t xml:space="preserve">Equity (US$m)</x:t>
        </x:is>
      </x:c>
      <x:c r="D2" s="29" t="inlineStr">
        <x:is>
          <x:t xml:space="preserve">Per share (HK$)</x:t>
        </x:is>
      </x:c>
    </x:row>
    <x:row r="3">
      <x:c r="A3" s="6" t="inlineStr">
        <x:is>
          <x:t xml:space="preserve">Bear</x:t>
        </x:is>
      </x:c>
      <x:c r="B3" s="30" t="n">
        <x:v>0.35</x:v>
      </x:c>
      <x:c r="C3" s="14" t="n">
        <x:f>Bear!B24</x:f>
        <x:v>3474.01993092921</x:v>
      </x:c>
      <x:c r="D3" s="14" t="n">
        <x:f>Bear!B26</x:f>
        <x:v>55.57427676555397</x:v>
      </x:c>
    </x:row>
    <x:row r="4">
      <x:c r="A4" s="6" t="inlineStr">
        <x:is>
          <x:t xml:space="preserve">Base</x:t>
        </x:is>
      </x:c>
      <x:c r="B4" s="30" t="n">
        <x:v>0.45</x:v>
      </x:c>
      <x:c r="C4" s="14" t="n">
        <x:f>Base!B24</x:f>
        <x:v>6347.644271939435</x:v>
      </x:c>
      <x:c r="D4" s="14" t="n">
        <x:f>Base!B26</x:f>
        <x:v>101.54395961789714</x:v>
      </x:c>
    </x:row>
    <x:row r="5">
      <x:c r="A5" s="6" t="inlineStr">
        <x:is>
          <x:t xml:space="preserve">Bull</x:t>
        </x:is>
      </x:c>
      <x:c r="B5" s="30" t="n">
        <x:v>0.2</x:v>
      </x:c>
      <x:c r="C5" s="14" t="n">
        <x:f>Bull!B24</x:f>
        <x:v>15917.534830119273</x:v>
      </x:c>
      <x:c r="D5" s="14" t="n">
        <x:f>Bull!B26</x:f>
        <x:v>254.63454547245058</x:v>
      </x:c>
    </x:row>
    <x:row r="6">
      <x:c r="A6" s="36" t="inlineStr">
        <x:is>
          <x:t xml:space="preserve">PROB-WEIGHTED</x:t>
        </x:is>
      </x:c>
      <x:c r="B6" s="36"/>
      <x:c r="C6" s="37" t="n">
        <x:f>SUMPRODUCT(B3:B5,C3:C5)/SUM(B3:B5)</x:f>
        <x:v>7255.853864221825</x:v>
      </x:c>
      <x:c r="D6" s="37" t="n">
        <x:f>SUMPRODUCT(B3:B5,D3:D5)/SUM(B3:B5)</x:f>
        <x:v>116.07268779048772</x:v>
      </x:c>
    </x:row>
    <x:row r="7">
      <x:c r="A7" s="6" t="inlineStr">
        <x:is>
          <x:t xml:space="preserve">Market price (HK$)</x:t>
        </x:is>
      </x:c>
      <x:c r="B7" s="14" t="n">
        <x:f>Assumptions!B9</x:f>
        <x:v>572</x:v>
      </x:c>
      <x:c r="C7" s="6"/>
      <x:c r="D7" s="6"/>
    </x:row>
    <x:row r="8">
      <x:c r="A8" s="6" t="inlineStr">
        <x:is>
          <x:t xml:space="preserve">DCF value as % of market</x:t>
        </x:is>
      </x:c>
      <x:c r="B8" s="12" t="n">
        <x:f>D6/B7</x:f>
        <x:v>0.2029242793539995</x:v>
      </x:c>
      <x:c r="C8" s="6"/>
      <x:c r="D8" s="6"/>
    </x:row>
    <x:row r="9">
      <x:c r="A9" s="6" t="inlineStr">
        <x:is>
          <x:t xml:space="preserve">Market equity value / LTM revenue</x:t>
        </x:is>
      </x:c>
      <x:c r="B9" s="31" t="n">
        <x:f>(Assumptions!B9*Assumptions!B5/Assumptions!B6)/Assumptions!B12</x:f>
        <x:v>170.69071819128206</x:v>
      </x:c>
      <x:c r="C9" s="6"/>
      <x:c r="D9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hidden="0" customWidth="1"/>
    <x:col min="2" max="2" width="13" hidden="0" customWidth="1"/>
    <x:col min="3" max="3" width="27" hidden="0" customWidth="1"/>
    <x:col min="4" max="4" width="14" hidden="0" customWidth="1"/>
    <x:col min="5" max="5" width="25" hidden="0" customWidth="1"/>
    <x:col min="6" max="6" width="16" hidden="0" customWidth="1"/>
    <x:col min="7" max="7" width="14" hidden="0" customWidth="1"/>
    <x:col min="8" max="8" width="10" hidden="0" customWidth="1"/>
    <x:col min="9" max="9" width="27" hidden="0" customWidth="1"/>
    <x:col min="10" max="10" width="18" hidden="0" customWidth="1"/>
    <x:col min="11" max="11" width="38" hidden="0" customWidth="1"/>
    <x:col min="12" max="12" width="38" hidden="0" customWidth="1"/>
    <x:col min="13" max="13" width="52" hidden="0" customWidth="1"/>
    <x:col min="14" max="14" width="18" hidden="0" customWidth="1"/>
  </x:cols>
  <x:sheetData>
    <x:row r="1" ht="38" customHeight="1">
      <x:c r="A1" s="41" t="inlineStr">
        <x:is>
          <x:t xml:space="preserve">Company</x:t>
        </x:is>
      </x:c>
      <x:c r="B1" s="41" t="inlineStr">
        <x:is>
          <x:t xml:space="preserve">Ticker</x:t>
        </x:is>
      </x:c>
      <x:c r="C1" s="41" t="inlineStr">
        <x:is>
          <x:t xml:space="preserve">Cohort</x:t>
        </x:is>
      </x:c>
      <x:c r="D1" s="41" t="inlineStr">
        <x:is>
          <x:t xml:space="preserve">Valuation date</x:t>
        </x:is>
      </x:c>
      <x:c r="E1" s="41" t="inlineStr">
        <x:is>
          <x:t xml:space="preserve">Valuation basis</x:t>
        </x:is>
      </x:c>
      <x:c r="F1" s="41" t="inlineStr">
        <x:is>
          <x:t xml:space="preserve">Equity value (bn)</x:t>
        </x:is>
      </x:c>
      <x:c r="G1" s="41" t="inlineStr">
        <x:is>
          <x:t xml:space="preserve">Revenue (bn)</x:t>
        </x:is>
      </x:c>
      <x:c r="H1" s="41" t="inlineStr">
        <x:is>
          <x:t xml:space="preserve">Currency</x:t>
        </x:is>
      </x:c>
      <x:c r="I1" s="41" t="inlineStr">
        <x:is>
          <x:t xml:space="preserve">Revenue basis</x:t>
        </x:is>
      </x:c>
      <x:c r="J1" s="41" t="inlineStr">
        <x:is>
          <x:t xml:space="preserve">Private range flag</x:t>
        </x:is>
      </x:c>
      <x:c r="K1" s="41" t="inlineStr">
        <x:is>
          <x:t xml:space="preserve">Valuation source</x:t>
        </x:is>
      </x:c>
      <x:c r="L1" s="41" t="inlineStr">
        <x:is>
          <x:t xml:space="preserve">Revenue source</x:t>
        </x:is>
      </x:c>
      <x:c r="M1" s="41" t="inlineStr">
        <x:is>
          <x:t xml:space="preserve">Comparability note</x:t>
        </x:is>
      </x:c>
      <x:c r="N1" s="41" t="inlineStr">
        <x:is>
          <x:t xml:space="preserve">Equity value / revenue (x)</x:t>
        </x:is>
      </x:c>
    </x:row>
    <x:row r="2" ht="48" customHeight="1">
      <x:c r="A2" s="44" t="str">
        <x:v>Zhipu</x:v>
      </x:c>
      <x:c r="B2" s="44" t="str">
        <x:v>02513.HK</x:v>
      </x:c>
      <x:c r="C2" s="44" t="str">
        <x:v>core_frontier</x:v>
      </x:c>
      <x:c r="D2" s="44" t="str">
        <x:v>2026-10-14</x:v>
      </x:c>
      <x:c r="E2" s="45" t="str">
        <x:v>public market equity value</x:v>
      </x:c>
      <x:c r="F2" s="51" t="n">
        <x:v>35.75645993333334</x:v>
      </x:c>
      <x:c r="G2" s="51" t="n">
        <x:v>0.20948098591549297</x:v>
      </x:c>
      <x:c r="H2" s="44" t="str">
        <x:v>USD</x:v>
      </x:c>
      <x:c r="I2" s="45" t="str">
        <x:v>LTM through 2026H1</x:v>
      </x:c>
      <x:c r="J2" s="44" t="n">
        <x:v>0</x:v>
      </x:c>
      <x:c r="K2" s="45" t="str">
        <x:v>https://web.ifzq.gtimg.cn/appstock/app/hkfqkline/get</x:v>
      </x:c>
      <x:c r="L2" s="45" t="str">
        <x:v>https://www1.hkexnews.hk/listedco/listconews/sehk/2026/0831/2026083101539.pdf</x:v>
      </x:c>
      <x:c r="M2" s="45" t="str">
        <x:v>Subject company; equity value is refreshed from the local market file and post-placement share count; LTM revenue is FY2025 less H1 2025 plus H1 2026 and translated at USD/CNY 7.1.</x:v>
      </x:c>
      <x:c r="N2" s="55" t="n">
        <x:f>F2/G2</x:f>
        <x:v>170.69071819128206</x:v>
      </x:c>
    </x:row>
    <x:row r="3" ht="48" customHeight="1">
      <x:c r="A3" s="46" t="str">
        <x:v>MiniMax</x:v>
      </x:c>
      <x:c r="B3" s="46" t="str">
        <x:v>00100.HK</x:v>
      </x:c>
      <x:c r="C3" s="46" t="str">
        <x:v>core_frontier</x:v>
      </x:c>
      <x:c r="D3" s="46" t="str">
        <x:v>2026-10-14</x:v>
      </x:c>
      <x:c r="E3" s="47" t="str">
        <x:v>public market equity value</x:v>
      </x:c>
      <x:c r="F3" s="52" t="n">
        <x:v>9.142801651575928</x:v>
      </x:c>
      <x:c r="G3" s="52" t="n">
        <x:v>0.165182</x:v>
      </x:c>
      <x:c r="H3" s="46" t="str">
        <x:v>USD</x:v>
      </x:c>
      <x:c r="I3" s="47" t="str">
        <x:v>LTM through 2026H1</x:v>
      </x:c>
      <x:c r="J3" s="46" t="n">
        <x:v>0</x:v>
      </x:c>
      <x:c r="K3" s="47" t="str">
        <x:v>https://web.ifzq.gtimg.cn/appstock/app/hkfqkline/get</x:v>
      </x:c>
      <x:c r="L3" s="47" t="str">
        <x:v>https://www1.hkexnews.hk/listedco/listconews/sehk/2026/0826/2026082600680.pdf</x:v>
      </x:c>
      <x:c r="M3" s="47" t="str">
        <x:v>Closest listed foundation-model peer; public-market LTM multiple is shown separately from private transaction references. Price refreshed to 2026-10-14; share-count and FX basis carried forward from 2026-08-31.</x:v>
      </x:c>
      <x:c r="N3" s="56" t="n">
        <x:f>F3/G3</x:f>
        <x:v>55.34986652041947</x:v>
      </x:c>
    </x:row>
    <x:row r="4" ht="48" customHeight="1">
      <x:c r="A4" s="46" t="str">
        <x:v>OpenAI</x:v>
      </x:c>
      <x:c r="B4" s="46" t="str">
        <x:v>private</x:v>
      </x:c>
      <x:c r="C4" s="46" t="str">
        <x:v>core_frontier</x:v>
      </x:c>
      <x:c r="D4" s="46" t="str">
        <x:v>2026-03-31</x:v>
      </x:c>
      <x:c r="E4" s="47" t="str">
        <x:v>post-money financing</x:v>
      </x:c>
      <x:c r="F4" s="52" t="n">
        <x:v>852</x:v>
      </x:c>
      <x:c r="G4" s="52" t="n">
        <x:v>25</x:v>
      </x:c>
      <x:c r="H4" s="46" t="str">
        <x:v>USD</x:v>
      </x:c>
      <x:c r="I4" s="47" t="str">
        <x:v>annualized revenue at February 2026</x:v>
      </x:c>
      <x:c r="J4" s="46" t="n">
        <x:v>1</x:v>
      </x:c>
      <x:c r="K4" s="47" t="str">
        <x:v>https://openai.com/index/accelerating-the-next-phase-ai/</x:v>
      </x:c>
      <x:c r="L4" s="47" t="str">
        <x:v>https://finance.yahoo.com/news/openai-tops-25-billion-annualized-033836274.html</x:v>
      </x:c>
      <x:c r="M4" s="47" t="str">
        <x:v>Private frontier-lab transaction reference; revenue was reported by Reuters and was not independently verified.</x:v>
      </x:c>
      <x:c r="N4" s="56" t="n">
        <x:f>F4/G4</x:f>
        <x:v>34.08</x:v>
      </x:c>
    </x:row>
    <x:row r="5" ht="48" customHeight="1">
      <x:c r="A5" s="46" t="str">
        <x:v>Anthropic</x:v>
      </x:c>
      <x:c r="B5" s="46" t="str">
        <x:v>private</x:v>
      </x:c>
      <x:c r="C5" s="46" t="str">
        <x:v>core_frontier</x:v>
      </x:c>
      <x:c r="D5" s="46" t="str">
        <x:v>2026-05-28</x:v>
      </x:c>
      <x:c r="E5" s="47" t="str">
        <x:v>post-money financing</x:v>
      </x:c>
      <x:c r="F5" s="52" t="n">
        <x:v>965</x:v>
      </x:c>
      <x:c r="G5" s="52" t="n">
        <x:v>47</x:v>
      </x:c>
      <x:c r="H5" s="46" t="str">
        <x:v>USD</x:v>
      </x:c>
      <x:c r="I5" s="47" t="str">
        <x:v>annualized revenue at May 2026</x:v>
      </x:c>
      <x:c r="J5" s="46" t="n">
        <x:v>1</x:v>
      </x:c>
      <x:c r="K5" s="47" t="str">
        <x:v>https://www.anthropic.com/news/series-h</x:v>
      </x:c>
      <x:c r="L5" s="47" t="str">
        <x:v>https://www.anthropic.com/news/series-h</x:v>
      </x:c>
      <x:c r="M5" s="47" t="str">
        <x:v>Private frontier-lab transaction reference with valuation and revenue disclosed together by the company. The September IPO target and 2028 forecast are separately modelled in ANTHROPIC_COMPARISON.md; excluded from the completed-deal range.</x:v>
      </x:c>
      <x:c r="N5" s="56" t="n">
        <x:f>F5/G5</x:f>
        <x:v>20.53191489361702</x:v>
      </x:c>
    </x:row>
    <x:row r="6" ht="48" customHeight="1">
      <x:c r="A6" s="46" t="str">
        <x:v>Mistral</x:v>
      </x:c>
      <x:c r="B6" s="46" t="str">
        <x:v>private</x:v>
      </x:c>
      <x:c r="C6" s="46" t="str">
        <x:v>core_frontier</x:v>
      </x:c>
      <x:c r="D6" s="46" t="str">
        <x:v>2025-09-09</x:v>
      </x:c>
      <x:c r="E6" s="47" t="str">
        <x:v>post-money financing</x:v>
      </x:c>
      <x:c r="F6" s="52" t="n">
        <x:v>11.7</x:v>
      </x:c>
      <x:c r="G6" s="52" t="n">
        <x:v>0.3</x:v>
      </x:c>
      <x:c r="H6" s="46" t="str">
        <x:v>EUR</x:v>
      </x:c>
      <x:c r="I6" s="47" t="str">
        <x:v>annualized revenue at September 2025</x:v>
      </x:c>
      <x:c r="J6" s="46" t="n">
        <x:v>1</x:v>
      </x:c>
      <x:c r="K6" s="47" t="str">
        <x:v>https://mistral.ai/news/mistral-ai-raises-1-7-b-to-accelerate-technological-progress-with-ai/</x:v>
      </x:c>
      <x:c r="L6" s="47" t="str">
        <x:v>https://www.lemonde.fr/economie/article/2025/09/26/mistral-ai-incarnation-de-l-intelligence-artificielle_6643087_3234.html</x:v>
      </x:c>
      <x:c r="M6" s="47" t="str">
        <x:v>Older private frontier-lab reference; included in the private transaction range but dated separately.</x:v>
      </x:c>
      <x:c r="N6" s="56" t="n">
        <x:f>F6/G6</x:f>
        <x:v>39</x:v>
      </x:c>
    </x:row>
    <x:row r="7" ht="48" customHeight="1">
      <x:c r="A7" s="48" t="str">
        <x:v>SenseTime</x:v>
      </x:c>
      <x:c r="B7" s="48" t="str">
        <x:v>00020.HK</x:v>
      </x:c>
      <x:c r="C7" s="48" t="str">
        <x:v>hk_adjacent</x:v>
      </x:c>
      <x:c r="D7" s="48" t="str">
        <x:v>2026-10-14</x:v>
      </x:c>
      <x:c r="E7" s="49" t="str">
        <x:v>implied total equity value</x:v>
      </x:c>
      <x:c r="F7" s="53" t="n">
        <x:v>43.45464326388889</x:v>
      </x:c>
      <x:c r="G7" s="53" t="n">
        <x:v>5.567388</x:v>
      </x:c>
      <x:c r="H7" s="48" t="str">
        <x:v>CNY</x:v>
      </x:c>
      <x:c r="I7" s="49" t="str">
        <x:v>LTM through 2026H1</x:v>
      </x:c>
      <x:c r="J7" s="48" t="n">
        <x:v>0</x:v>
      </x:c>
      <x:c r="K7" s="49" t="str">
        <x:v>https://web.ifzq.gtimg.cn/appstock/app/hkfqkline/get?param=hk00020%2Cday%2C2026-08-31%2C2026-10-14%2C640%2Cqfq</x:v>
      </x:c>
      <x:c r="L7" s="49" t="str">
        <x:v>https://www1.hkexnews.hk/listedco/listconews/sehk/2026/0826/2026082600408.pdf</x:v>
      </x:c>
      <x:c r="M7" s="49" t="str">
        <x:v>Adjacent Hong Kong AI platform; mixed computer-vision generative-AI and solution revenue makes it contextual only. Price refreshed to 2026-10-14; August share-count and FX basis retained, not a newly verified market capitalization.</x:v>
      </x:c>
      <x:c r="N7" s="57" t="n">
        <x:f>F7/G7</x:f>
        <x:v>7.8052119349125455</x:v>
      </x:c>
    </x:row>
    <x:row r="8" ht="48" customHeight="1">
      <x:c r="A8" s="48" t="str">
        <x:v>Phancy</x:v>
      </x:c>
      <x:c r="B8" s="48" t="str">
        <x:v>06682.HK</x:v>
      </x:c>
      <x:c r="C8" s="48" t="str">
        <x:v>hk_adjacent</x:v>
      </x:c>
      <x:c r="D8" s="48" t="str">
        <x:v>2026-10-14</x:v>
      </x:c>
      <x:c r="E8" s="49" t="str">
        <x:v>implied total equity value</x:v>
      </x:c>
      <x:c r="F8" s="53" t="n">
        <x:v>11.621648698072804</x:v>
      </x:c>
      <x:c r="G8" s="53" t="n">
        <x:v>8.274083</x:v>
      </x:c>
      <x:c r="H8" s="48" t="str">
        <x:v>CNY</x:v>
      </x:c>
      <x:c r="I8" s="49" t="str">
        <x:v>LTM through 2026H1</x:v>
      </x:c>
      <x:c r="J8" s="48" t="n">
        <x:v>0</x:v>
      </x:c>
      <x:c r="K8" s="49" t="str">
        <x:v>https://web.ifzq.gtimg.cn/appstock/app/hkfqkline/get?param=hk06682%2Cday%2C2026-08-31%2C2026-10-14%2C640%2Cqfq</x:v>
      </x:c>
      <x:c r="L8" s="49" t="str">
        <x:v>https://www1.hkexnews.hk/listedco/listconews/sehk/2026/0820/2026082000357.pdf</x:v>
      </x:c>
      <x:c r="M8" s="49" t="str">
        <x:v>Enterprise AI platform and agentic services with a different revenue and margin mix; contextual only. Price refreshed to 2026-10-14; August share-count and FX basis retained, not a newly verified market capitalization.</x:v>
      </x:c>
      <x:c r="N8" s="57" t="n">
        <x:f>F8/G8</x:f>
        <x:v>1.4045844957166618</x:v>
      </x:c>
    </x:row>
    <x:row r="9" ht="48" customHeight="1">
      <x:c r="A9" s="48" t="str">
        <x:v>Wenge AI</x:v>
      </x:c>
      <x:c r="B9" s="48" t="str">
        <x:v>01956.HK</x:v>
      </x:c>
      <x:c r="C9" s="48" t="str">
        <x:v>hk_adjacent</x:v>
      </x:c>
      <x:c r="D9" s="48" t="str">
        <x:v>2026-10-14</x:v>
      </x:c>
      <x:c r="E9" s="49" t="str">
        <x:v>implied total equity value</x:v>
      </x:c>
      <x:c r="F9" s="53" t="n">
        <x:v>9.332164612209302</x:v>
      </x:c>
      <x:c r="G9" s="53" t="n">
        <x:v>0.459773</x:v>
      </x:c>
      <x:c r="H9" s="48" t="str">
        <x:v>CNY</x:v>
      </x:c>
      <x:c r="I9" s="49" t="str">
        <x:v>LTM through 2026H1</x:v>
      </x:c>
      <x:c r="J9" s="48" t="n">
        <x:v>0</x:v>
      </x:c>
      <x:c r="K9" s="49" t="str">
        <x:v>https://web.ifzq.gtimg.cn/appstock/app/hkfqkline/get</x:v>
      </x:c>
      <x:c r="L9" s="49" t="str">
        <x:v>https://www1.hkexnews.hk/listedco/listconews/sehk/2026/0825/2026082500959.pdf</x:v>
      </x:c>
      <x:c r="M9" s="49" t="str">
        <x:v>Decision-intelligence and project-delivery model with a short trading history; contextual only. Price refreshed to 2026-10-14; share-count and FX basis carried forward from 2026-08-31.</x:v>
      </x:c>
      <x:c r="N9" s="57" t="n">
        <x:f>F9/G9</x:f>
        <x:v>20.297330665805305</x:v>
      </x:c>
    </x:row>
    <x:row r="10" ht="48" customHeight="1">
      <x:c r="A10" s="32" t="str">
        <x:v>Palantir</x:v>
      </x:c>
      <x:c r="B10" s="32" t="str">
        <x:v>PLTR</x:v>
      </x:c>
      <x:c r="C10" s="32" t="str">
        <x:v>commercialization_reference</x:v>
      </x:c>
      <x:c r="D10" s="32" t="str">
        <x:v>2026-10-14</x:v>
      </x:c>
      <x:c r="E10" s="50" t="str">
        <x:v>public market equity value</x:v>
      </x:c>
      <x:c r="F10" s="54" t="n">
        <x:v>482.9148586963561</x:v>
      </x:c>
      <x:c r="G10" s="54" t="n">
        <x:v>4.475446</x:v>
      </x:c>
      <x:c r="H10" s="32" t="str">
        <x:v>USD</x:v>
      </x:c>
      <x:c r="I10" s="50" t="str">
        <x:v>FY2025 revenue</x:v>
      </x:c>
      <x:c r="J10" s="32" t="n">
        <x:v>0</x:v>
      </x:c>
      <x:c r="K10" s="50" t="str">
        <x:v>https://query1.finance.yahoo.com/v8/finance/chart/PLTR?period1=1788134400&amp;period2=1792022400&amp;interval=1d</x:v>
      </x:c>
      <x:c r="L10" s="50" t="str">
        <x:v>https://www.sec.gov/Archives/edgar/data/1321655/000132165526000011/pltr-20251231.htm</x:v>
      </x:c>
      <x:c r="M10" s="50" t="str">
        <x:v>Mature AI software commercialization reference; not a frontier-model laboratory. Price refreshed to 2026-10-14; August share-count and FX basis retained, not a newly verified market capitalization.</x:v>
      </x:c>
      <x:c r="N10" s="58" t="n">
        <x:f>F10/G10</x:f>
        <x:v>107.90318075480211</x:v>
      </x:c>
    </x:row>
    <x:row r="11" ht="48" customHeight="1">
      <x:c r="A11" s="32" t="str">
        <x:v>Cloudflare</x:v>
      </x:c>
      <x:c r="B11" s="32" t="str">
        <x:v>NET</x:v>
      </x:c>
      <x:c r="C11" s="32" t="str">
        <x:v>commercialization_reference</x:v>
      </x:c>
      <x:c r="D11" s="32" t="str">
        <x:v>2026-10-14</x:v>
      </x:c>
      <x:c r="E11" s="50" t="str">
        <x:v>public market equity value</x:v>
      </x:c>
      <x:c r="F11" s="54" t="n">
        <x:v>115.07960559798444</x:v>
      </x:c>
      <x:c r="G11" s="54" t="n">
        <x:v>2.1679</x:v>
      </x:c>
      <x:c r="H11" s="32" t="str">
        <x:v>USD</x:v>
      </x:c>
      <x:c r="I11" s="50" t="str">
        <x:v>FY2025 revenue</x:v>
      </x:c>
      <x:c r="J11" s="32" t="n">
        <x:v>0</x:v>
      </x:c>
      <x:c r="K11" s="50" t="str">
        <x:v>https://query1.finance.yahoo.com/v8/finance/chart/NET?period1=1788134400&amp;period2=1792022400&amp;interval=1d</x:v>
      </x:c>
      <x:c r="L11" s="50" t="str">
        <x:v>https://www.cloudflare.com/press/press-releases/2026/cloudflare-announces-fourth-quarter-and-fiscal-year-2025-financial-results/</x:v>
      </x:c>
      <x:c r="M11" s="50" t="str">
        <x:v>Connectivity and inference-infrastructure reference; economics differ from a model laboratory. Price refreshed to 2026-10-14; August share-count and FX basis retained, not a newly verified market capitalization.</x:v>
      </x:c>
      <x:c r="N11" s="58" t="n">
        <x:f>F11/G11</x:f>
        <x:v>53.08344739055512</x:v>
      </x:c>
    </x:row>
    <x:row r="12" ht="48" customHeight="1">
      <x:c r="A12" s="32" t="str">
        <x:v>Snowflake</x:v>
      </x:c>
      <x:c r="B12" s="32" t="str">
        <x:v>SNOW</x:v>
      </x:c>
      <x:c r="C12" s="32" t="str">
        <x:v>commercialization_reference</x:v>
      </x:c>
      <x:c r="D12" s="32" t="str">
        <x:v>2026-10-14</x:v>
      </x:c>
      <x:c r="E12" s="50" t="str">
        <x:v>public market equity value</x:v>
      </x:c>
      <x:c r="F12" s="54" t="n">
        <x:v>116.13893013707728</x:v>
      </x:c>
      <x:c r="G12" s="54" t="n">
        <x:v>4.683946</x:v>
      </x:c>
      <x:c r="H12" s="32" t="str">
        <x:v>USD</x:v>
      </x:c>
      <x:c r="I12" s="50" t="str">
        <x:v>FY2026 revenue</x:v>
      </x:c>
      <x:c r="J12" s="32" t="n">
        <x:v>0</x:v>
      </x:c>
      <x:c r="K12" s="50" t="str">
        <x:v>https://query1.finance.yahoo.com/v8/finance/chart/SNOW?period1=1788134400&amp;period2=1792022400&amp;interval=1d</x:v>
      </x:c>
      <x:c r="L12" s="50" t="str">
        <x:v>https://www.sec.gov/Archives/edgar/data/1640147/000164014726000023/snowflake2026ars.pdf</x:v>
      </x:c>
      <x:c r="M12" s="50" t="str">
        <x:v>Data-cloud commercialization reference; not a direct foundation-model comparable. Price refreshed to 2026-10-14; August share-count and FX basis retained, not a newly verified market capitalization.</x:v>
      </x:c>
      <x:c r="N12" s="58" t="n">
        <x:f>F12/G12</x:f>
        <x:v>24.795104413474725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48" hidden="0" customWidth="1"/>
    <x:col min="2" max="2" width="22" hidden="0" customWidth="1"/>
  </x:cols>
  <x:sheetData>
    <x:row r="1">
      <x:c r="A1" s="28" t="str">
        <x:v>Market date</x:v>
      </x:c>
      <x:c r="B1" s="28" t="str">
        <x:v>2026-10-14</x:v>
      </x:c>
    </x:row>
    <x:row r="2">
      <x:c r="A2" s="6" t="str">
        <x:v>Market price (HK$)</x:v>
      </x:c>
      <x:c r="B2" s="14" t="n">
        <x:v>572</x:v>
      </x:c>
    </x:row>
    <x:row r="3">
      <x:c r="A3" s="6" t="str">
        <x:v>Market equity value (US$m)</x:v>
      </x:c>
      <x:c r="B3" s="14" t="n">
        <x:v>35756.5</x:v>
      </x:c>
    </x:row>
    <x:row r="4">
      <x:c r="A4" s="6" t="str">
        <x:v>Market equity value / LTM revenue</x:v>
      </x:c>
      <x:c r="B4" s="14" t="n">
        <x:v>170.7</x:v>
      </x:c>
    </x:row>
    <x:row r="5">
      <x:c r="A5" s="6" t="str">
        <x:v>Bear per share (HK$)</x:v>
      </x:c>
      <x:c r="B5" s="14" t="n">
        <x:v>55.6</x:v>
      </x:c>
    </x:row>
    <x:row r="6">
      <x:c r="A6" s="6" t="str">
        <x:v>Base per share (HK$)</x:v>
      </x:c>
      <x:c r="B6" s="14" t="n">
        <x:v>101.5</x:v>
      </x:c>
    </x:row>
    <x:row r="7">
      <x:c r="A7" s="6" t="str">
        <x:v>Bull per share (HK$)</x:v>
      </x:c>
      <x:c r="B7" s="14" t="n">
        <x:v>254.6</x:v>
      </x:c>
    </x:row>
    <x:row r="8">
      <x:c r="A8" s="6" t="str">
        <x:v>Probability-weighted equity (US$m)</x:v>
      </x:c>
      <x:c r="B8" s="14" t="n">
        <x:v>7255.9</x:v>
      </x:c>
    </x:row>
    <x:row r="9">
      <x:c r="A9" s="6" t="str">
        <x:v>Probability-weighted per share (HK$)</x:v>
      </x:c>
      <x:c r="B9" s="14" t="n">
        <x:v>116.1</x:v>
      </x:c>
    </x:row>
    <x:row r="10">
      <x:c r="A10" s="6" t="str">
        <x:v>DCF value as % of market</x:v>
      </x:c>
      <x:c r="B10" s="12" t="n">
        <x:v>0.2029</x:v>
      </x:c>
    </x:row>
  </x:sheetData>
  <x:pageMargins left="0.7" right="0.7" top="0.75" bottom="0.75" header="0.3" footer="0.3"/>
</x:worksheet>
</file>