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3fbf2c540841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ation" sheetId="1" r:id="R08bcbacdc425489e"/>
    <x:sheet xmlns:r="http://schemas.openxmlformats.org/officeDocument/2006/relationships" name="Inputs" sheetId="2" r:id="R69e5f522136749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.0;(#,##0.0);&quot;-&quot;"/>
    <x:numFmt numFmtId="201" formatCode="dd-mmm-yyyy"/>
    <x:numFmt numFmtId="202" formatCode="$#,##0.0;($#,##0.0);&quot;-&quot;"/>
    <x:numFmt numFmtId="203" formatCode="0.0&quot;x&quot;"/>
    <x:numFmt numFmtId="204" formatCode="0.0%;(0.0%);&quot;-&quot;"/>
    <x:numFmt numFmtId="205" formatCode="0.000"/>
    <x:numFmt numFmtId="206" formatCode="0"/>
    <x:numFmt numFmtId="207" formatCode="$0.000"/>
    <x:numFmt numFmtId="208" formatCode="0&quot;E&quot;"/>
    <x:numFmt numFmtId="209" formatCode="$0.00;($0.00);&quot;-&quot;"/>
  </x:numFmts>
  <x:fonts count="19">
    <x:font>
      <x:sz val="11"/>
      <x:name val="Carlito"/>
    </x:font>
    <x:font>
      <x:sz val="10"/>
      <x:color rgb="FF242A31"/>
      <x:name val="Arial"/>
    </x:font>
    <x:font>
      <x:b/>
      <x:sz val="16"/>
      <x:color rgb="FF242A31"/>
      <x:name val="Arial"/>
    </x:font>
    <x:font>
      <x:i/>
      <x:sz val="10"/>
      <x:color rgb="FF606A75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sz val="10"/>
      <x:color rgb="FF000000"/>
      <x:name val="Arial"/>
    </x:font>
    <x:font>
      <x:i/>
      <x:sz val="10"/>
      <x:color rgb="FF242A31"/>
      <x:name val="Arial"/>
    </x:font>
    <x:font>
      <x:i/>
      <x:sz val="10"/>
      <x:color rgb="FF0000FF"/>
      <x:name val="Arial"/>
    </x:font>
    <x:font>
      <x:sz val="10"/>
      <x:color rgb="FF606A75"/>
      <x:name val="Arial"/>
    </x:font>
    <x:font>
      <x:b/>
      <x:sz val="10"/>
      <x:color rgb="FF242A31"/>
      <x:name val="Arial"/>
    </x:font>
    <x:font>
      <x:i/>
      <x:sz val="10"/>
      <x:color rgb="FF000000"/>
      <x:name val="Arial"/>
    </x:font>
    <x:font>
      <x:i/>
      <x:sz val="10"/>
      <x:color rgb="FF9C2525"/>
      <x:name val="Arial"/>
    </x:font>
    <x:font>
      <x:sz val="9"/>
      <x:color rgb="FF365D85"/>
      <x:name val="Arial"/>
    </x:font>
    <x:font>
      <x:b/>
      <x:sz val="10"/>
      <x:color rgb="FF606A75"/>
      <x:name val="Arial"/>
    </x:font>
    <x:font>
      <x:sz val="10"/>
      <x:color rgb="FF008000"/>
      <x:name val="Arial"/>
    </x:font>
    <x:font>
      <x:i/>
      <x:sz val="10"/>
      <x:color rgb="FF008000"/>
      <x:name val="Arial"/>
    </x:font>
    <x:font>
      <x:b/>
      <x:sz val="10"/>
      <x:color rgb="FF000000"/>
      <x:name val="Arial"/>
    </x:font>
    <x:font>
      <x:b/>
      <x:sz val="10"/>
      <x:color rgb="FF008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344354"/>
      </x:patternFill>
    </x:fill>
    <x:fill>
      <x:patternFill patternType="solid">
        <x:fgColor rgb="FFFFF2CC"/>
      </x:patternFill>
    </x:fill>
    <x:fill>
      <x:patternFill patternType="solid">
        <x:fgColor rgb="FFEDF1F5"/>
      </x:patternFill>
    </x:fill>
    <x:fill>
      <x:patternFill patternType="solid">
        <x:fgColor rgb="FFE8EDF2"/>
      </x:patternFill>
    </x:fill>
  </x:fills>
  <x:borders count="3">
    <x:border/>
    <x:border>
      <x:bottom style="thin">
        <x:color rgb="FFCCD3DB"/>
      </x:bottom>
    </x:border>
    <x:border>
      <x:top style="thin">
        <x:color rgb="FFCCD3DB"/>
      </x:top>
    </x:border>
  </x:borders>
  <x:cellStyleXfs count="1">
    <x:xf numFmtId="0" fontId="0" fillId="0" borderId="0"/>
  </x:cellStyleXfs>
  <x:cellXfs count="10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 applyAlignment="1">
      <x:alignment horizontal="left" vertical="center"/>
    </x:xf>
    <x:xf numFmtId="200" fontId="1" fillId="0" borderId="1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left" vertical="center"/>
    </x:xf>
    <x:xf numFmtId="200" fontId="1" fillId="2" borderId="0" xfId="0" applyNumberFormat="1" applyFont="1" applyFill="1" applyBorder="1" applyAlignment="1">
      <x:alignment horizontal="right" vertical="center"/>
    </x:xf>
    <x:xf numFmtId="0" fontId="4" fillId="2" borderId="0" xfId="0" applyNumberFormat="1" applyFont="1" applyFill="1" applyBorder="1" applyAlignment="1">
      <x:alignment horizontal="left" vertical="center"/>
    </x:xf>
    <x:xf numFmtId="200" fontId="4" fillId="2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0" fontId="5" fillId="3" borderId="0" xfId="0" applyNumberFormat="1" applyFont="1" applyFill="1" applyBorder="1" applyAlignment="1">
      <x:alignment horizontal="right" vertical="center"/>
    </x:xf>
    <x:xf numFmtId="201" fontId="5" fillId="3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0" fontId="6" fillId="0" borderId="0" xfId="0" applyNumberFormat="1" applyFont="1" applyFill="1" applyBorder="1" applyAlignment="1">
      <x:alignment horizontal="right" vertical="center"/>
    </x:xf>
    <x:xf numFmtId="202" fontId="6" fillId="0" borderId="0" xfId="0" applyNumberFormat="1" applyFont="1" applyFill="1" applyBorder="1" applyAlignment="1">
      <x:alignment horizontal="right" vertical="center"/>
    </x:xf>
    <x:xf numFmtId="203" fontId="5" fillId="3" borderId="0" xfId="0" applyNumberFormat="1" applyFont="1" applyFill="1" applyBorder="1" applyAlignment="1">
      <x:alignment horizontal="right" vertical="center"/>
    </x:xf>
    <x:xf numFmtId="0" fontId="7" fillId="0" borderId="0" xfId="0" applyNumberFormat="1" applyFont="1" applyFill="1" applyBorder="1" applyAlignment="1">
      <x:alignment horizontal="left" vertical="center"/>
    </x:xf>
    <x:xf numFmtId="200" fontId="8" fillId="3" borderId="0" xfId="0" applyNumberFormat="1" applyFont="1" applyFill="1" applyBorder="1" applyAlignment="1">
      <x:alignment horizontal="right" vertical="center"/>
    </x:xf>
    <x:xf numFmtId="204" fontId="8" fillId="3" borderId="0" xfId="0" applyNumberFormat="1" applyFont="1" applyFill="1" applyBorder="1" applyAlignment="1">
      <x:alignment horizontal="right" vertical="center"/>
    </x:xf>
    <x:xf numFmtId="205" fontId="5" fillId="3" borderId="0" xfId="0" applyNumberFormat="1" applyFont="1" applyFill="1" applyBorder="1" applyAlignment="1">
      <x:alignment horizontal="right" vertical="center"/>
    </x:xf>
    <x:xf numFmtId="200" fontId="9" fillId="0" borderId="0" xfId="0" applyNumberFormat="1" applyFont="1" applyFill="1" applyBorder="1" applyAlignment="1">
      <x:alignment horizontal="right" vertical="center"/>
    </x:xf>
    <x:xf numFmtId="200" fontId="9" fillId="0" borderId="0" xfId="0" applyNumberFormat="1" applyFont="1" applyFill="1" applyBorder="1" applyAlignment="1">
      <x:alignment horizontal="left" vertical="center"/>
    </x:xf>
    <x:xf numFmtId="206" fontId="1" fillId="0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horizontal="left" vertical="center"/>
    </x:xf>
    <x:xf numFmtId="206" fontId="1" fillId="4" borderId="0" xfId="0" applyNumberFormat="1" applyFont="1" applyFill="1" applyBorder="1" applyAlignment="1">
      <x:alignment horizontal="right" vertical="center"/>
    </x:xf>
    <x:xf numFmtId="0" fontId="10" fillId="4" borderId="0" xfId="0" applyNumberFormat="1" applyFont="1" applyFill="1" applyBorder="1" applyAlignment="1">
      <x:alignment horizontal="left" vertical="center"/>
    </x:xf>
    <x:xf numFmtId="206" fontId="10" fillId="4" borderId="0" xfId="0" applyNumberFormat="1" applyFont="1" applyFill="1" applyBorder="1" applyAlignment="1">
      <x:alignment horizontal="right" vertical="center"/>
    </x:xf>
    <x:xf numFmtId="0" fontId="10" fillId="4" borderId="0" xfId="0" applyNumberFormat="1" applyFont="1" applyFill="1" applyBorder="1" applyAlignment="1">
      <x:alignment horizontal="center" vertical="center"/>
    </x:xf>
    <x:xf numFmtId="206" fontId="10" fillId="4" borderId="0" xfId="0" applyNumberFormat="1" applyFont="1" applyFill="1" applyBorder="1" applyAlignment="1">
      <x:alignment horizontal="center" vertical="center"/>
    </x:xf>
    <x:xf numFmtId="202" fontId="5" fillId="3" borderId="0" xfId="0" applyNumberFormat="1" applyFont="1" applyFill="1" applyBorder="1" applyAlignment="1">
      <x:alignment horizontal="right" vertical="center"/>
    </x:xf>
    <x:xf numFmtId="200" fontId="6" fillId="3" borderId="0" xfId="0" applyNumberFormat="1" applyFont="1" applyFill="1" applyBorder="1" applyAlignment="1">
      <x:alignment horizontal="right" vertical="center"/>
    </x:xf>
    <x:xf numFmtId="200" fontId="8" fillId="5" borderId="0" xfId="0" applyNumberFormat="1" applyFont="1" applyFill="1" applyBorder="1" applyAlignment="1">
      <x:alignment horizontal="right" vertical="center"/>
    </x:xf>
    <x:xf numFmtId="200" fontId="11" fillId="5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horizontal="right" vertical="center"/>
    </x:xf>
    <x:xf numFmtId="204" fontId="11" fillId="5" borderId="0" xfId="0" applyNumberFormat="1" applyFont="1" applyFill="1" applyBorder="1" applyAlignment="1">
      <x:alignment horizontal="right" vertical="center"/>
    </x:xf>
    <x:xf numFmtId="0" fontId="9" fillId="0" borderId="0" xfId="0" applyNumberFormat="1" applyFont="1" applyFill="1" applyBorder="1" applyAlignment="1">
      <x:alignment horizontal="left" vertical="center"/>
    </x:xf>
    <x:xf numFmtId="200" fontId="1" fillId="4" borderId="0" xfId="0" applyNumberFormat="1" applyFont="1" applyFill="1" applyBorder="1" applyAlignment="1">
      <x:alignment horizontal="right" vertical="center"/>
    </x:xf>
    <x:xf numFmtId="200" fontId="10" fillId="4" borderId="0" xfId="0" applyNumberFormat="1" applyFont="1" applyFill="1" applyBorder="1" applyAlignment="1">
      <x:alignment horizontal="right" vertical="center"/>
    </x:xf>
    <x:xf numFmtId="200" fontId="10" fillId="4" borderId="0" xfId="0" applyNumberFormat="1" applyFont="1" applyFill="1" applyBorder="1" applyAlignment="1">
      <x:alignment horizontal="center" vertical="center"/>
    </x:xf>
    <x:xf numFmtId="200" fontId="5" fillId="0" borderId="0" xfId="0" applyNumberFormat="1" applyFont="1" applyFill="1" applyBorder="1" applyAlignment="1">
      <x:alignment horizontal="right" vertical="center"/>
    </x:xf>
    <x:xf numFmtId="206" fontId="1" fillId="0" borderId="0" xfId="0" applyNumberFormat="1" applyFont="1" applyFill="1" applyBorder="1" applyAlignment="1">
      <x:alignment horizontal="left" vertical="center"/>
    </x:xf>
    <x:xf numFmtId="204" fontId="5" fillId="0" borderId="0" xfId="0" applyNumberFormat="1" applyFont="1" applyFill="1" applyBorder="1" applyAlignment="1">
      <x:alignment horizontal="right" vertical="center"/>
    </x:xf>
    <x:xf numFmtId="204" fontId="8" fillId="0" borderId="0" xfId="0" applyNumberFormat="1" applyFont="1" applyFill="1" applyBorder="1" applyAlignment="1">
      <x:alignment horizontal="right" vertical="center"/>
    </x:xf>
    <x:xf numFmtId="207" fontId="5" fillId="0" borderId="0" xfId="0" applyNumberFormat="1" applyFont="1" applyFill="1" applyBorder="1" applyAlignment="1">
      <x:alignment horizontal="right" vertical="center"/>
    </x:xf>
    <x:xf numFmtId="0" fontId="12" fillId="0" borderId="0" xfId="0" applyNumberFormat="1" applyFont="1" applyFill="1" applyBorder="1" applyAlignment="1">
      <x:alignment horizontal="left" vertical="center"/>
    </x:xf>
    <x:xf numFmtId="0" fontId="13" fillId="0" borderId="0" xfId="0" applyNumberFormat="1" applyFont="1" applyFill="1" applyBorder="1" applyAlignment="1">
      <x:alignment horizontal="lef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4" fontId="7" fillId="0" borderId="0" xfId="0" applyNumberFormat="1" applyFont="1" applyFill="1" applyBorder="1" applyAlignment="1">
      <x:alignment horizontal="right" vertical="center"/>
    </x:xf>
    <x:xf numFmtId="203" fontId="7" fillId="0" borderId="0" xfId="0" applyNumberFormat="1" applyFont="1" applyFill="1" applyBorder="1" applyAlignment="1">
      <x:alignment horizontal="right" vertical="center"/>
    </x:xf>
    <x:xf numFmtId="202" fontId="1" fillId="4" borderId="0" xfId="0" applyNumberFormat="1" applyFont="1" applyFill="1" applyBorder="1" applyAlignment="1">
      <x:alignment horizontal="right" vertical="center"/>
    </x:xf>
    <x:xf numFmtId="200" fontId="1" fillId="4" borderId="0" xfId="0" applyNumberFormat="1" applyFont="1" applyFill="1" applyBorder="1" applyAlignment="1">
      <x:alignment horizontal="left" vertical="center"/>
    </x:xf>
    <x:xf numFmtId="200" fontId="9" fillId="4" borderId="0" xfId="0" applyNumberFormat="1" applyFont="1" applyFill="1" applyBorder="1" applyAlignment="1">
      <x:alignment horizontal="left" vertical="center"/>
    </x:xf>
    <x:xf numFmtId="202" fontId="10" fillId="4" borderId="0" xfId="0" applyNumberFormat="1" applyFont="1" applyFill="1" applyBorder="1" applyAlignment="1">
      <x:alignment horizontal="right" vertical="center"/>
    </x:xf>
    <x:xf numFmtId="200" fontId="10" fillId="4" borderId="0" xfId="0" applyNumberFormat="1" applyFont="1" applyFill="1" applyBorder="1" applyAlignment="1">
      <x:alignment horizontal="left" vertical="center"/>
    </x:xf>
    <x:xf numFmtId="200" fontId="14" fillId="4" borderId="0" xfId="0" applyNumberFormat="1" applyFont="1" applyFill="1" applyBorder="1" applyAlignment="1">
      <x:alignment horizontal="left" vertical="center"/>
    </x:xf>
    <x:xf numFmtId="0" fontId="10" fillId="4" borderId="2" xfId="0" applyNumberFormat="1" applyFont="1" applyFill="1" applyBorder="1" applyAlignment="1">
      <x:alignment horizontal="left" vertical="center"/>
    </x:xf>
    <x:xf numFmtId="202" fontId="10" fillId="4" borderId="2" xfId="0" applyNumberFormat="1" applyFont="1" applyFill="1" applyBorder="1" applyAlignment="1">
      <x:alignment horizontal="right" vertical="center"/>
    </x:xf>
    <x:xf numFmtId="200" fontId="10" fillId="4" borderId="2" xfId="0" applyNumberFormat="1" applyFont="1" applyFill="1" applyBorder="1" applyAlignment="1">
      <x:alignment horizontal="left" vertical="center"/>
    </x:xf>
    <x:xf numFmtId="200" fontId="14" fillId="4" borderId="2" xfId="0" applyNumberFormat="1" applyFont="1" applyFill="1" applyBorder="1" applyAlignment="1">
      <x:alignment horizontal="left" vertical="center"/>
    </x:xf>
    <x:xf numFmtId="200" fontId="15" fillId="0" borderId="0" xfId="0" applyNumberFormat="1" applyFont="1" applyFill="1" applyBorder="1" applyAlignment="1">
      <x:alignment horizontal="right" vertical="center"/>
    </x:xf>
    <x:xf numFmtId="203" fontId="15" fillId="0" borderId="0" xfId="0" applyNumberFormat="1" applyFont="1" applyFill="1" applyBorder="1" applyAlignment="1">
      <x:alignment horizontal="right" vertical="center"/>
    </x:xf>
    <x:xf numFmtId="203" fontId="16" fillId="0" borderId="0" xfId="0" applyNumberFormat="1" applyFont="1" applyFill="1" applyBorder="1" applyAlignment="1">
      <x:alignment horizontal="right" vertical="center"/>
    </x:xf>
    <x:xf numFmtId="202" fontId="15" fillId="0" borderId="0" xfId="0" applyNumberFormat="1" applyFont="1" applyFill="1" applyBorder="1" applyAlignment="1">
      <x:alignment horizontal="right" vertical="center"/>
    </x:xf>
    <x:xf numFmtId="202" fontId="6" fillId="4" borderId="0" xfId="0" applyNumberFormat="1" applyFont="1" applyFill="1" applyBorder="1" applyAlignment="1">
      <x:alignment horizontal="right" vertical="center"/>
    </x:xf>
    <x:xf numFmtId="202" fontId="17" fillId="4" borderId="0" xfId="0" applyNumberFormat="1" applyFont="1" applyFill="1" applyBorder="1" applyAlignment="1">
      <x:alignment horizontal="right" vertical="center"/>
    </x:xf>
    <x:xf numFmtId="202" fontId="17" fillId="4" borderId="2" xfId="0" applyNumberFormat="1" applyFont="1" applyFill="1" applyBorder="1" applyAlignment="1">
      <x:alignment horizontal="right" vertical="center"/>
    </x:xf>
    <x:xf numFmtId="200" fontId="10" fillId="4" borderId="2" xfId="0" applyNumberFormat="1" applyFont="1" applyFill="1" applyBorder="1" applyAlignment="1">
      <x:alignment horizontal="right" vertical="center"/>
    </x:xf>
    <x:xf numFmtId="208" fontId="1" fillId="0" borderId="0" xfId="0" applyNumberFormat="1" applyFont="1" applyFill="1" applyBorder="1" applyAlignment="1">
      <x:alignment horizontal="right" vertical="center"/>
    </x:xf>
    <x:xf numFmtId="208" fontId="1" fillId="4" borderId="0" xfId="0" applyNumberFormat="1" applyFont="1" applyFill="1" applyBorder="1" applyAlignment="1">
      <x:alignment horizontal="right" vertical="center"/>
    </x:xf>
    <x:xf numFmtId="208" fontId="10" fillId="4" borderId="0" xfId="0" applyNumberFormat="1" applyFont="1" applyFill="1" applyBorder="1" applyAlignment="1">
      <x:alignment horizontal="right" vertical="center"/>
    </x:xf>
    <x:xf numFmtId="208" fontId="10" fillId="4" borderId="0" xfId="0" applyNumberFormat="1" applyFont="1" applyFill="1" applyBorder="1" applyAlignment="1">
      <x:alignment horizontal="center" vertical="center"/>
    </x:xf>
    <x:xf numFmtId="200" fontId="16" fillId="0" borderId="0" xfId="0" applyNumberFormat="1" applyFont="1" applyFill="1" applyBorder="1" applyAlignment="1">
      <x:alignment horizontal="right" vertical="center"/>
    </x:xf>
    <x:xf numFmtId="204" fontId="16" fillId="0" borderId="0" xfId="0" applyNumberFormat="1" applyFont="1" applyFill="1" applyBorder="1" applyAlignment="1">
      <x:alignment horizontal="right" vertical="center"/>
    </x:xf>
    <x:xf numFmtId="200" fontId="7" fillId="0" borderId="0" xfId="0" applyNumberFormat="1" applyFont="1" applyFill="1" applyBorder="1" applyAlignment="1">
      <x:alignment horizontal="right" vertical="center"/>
    </x:xf>
    <x:xf numFmtId="205" fontId="7" fillId="0" borderId="0" xfId="0" applyNumberFormat="1" applyFont="1" applyFill="1" applyBorder="1" applyAlignment="1">
      <x:alignment horizontal="right" vertical="center"/>
    </x:xf>
    <x:xf numFmtId="205" fontId="16" fillId="0" borderId="0" xfId="0" applyNumberFormat="1" applyFont="1" applyFill="1" applyBorder="1" applyAlignment="1">
      <x:alignment horizontal="right" vertical="center"/>
    </x:xf>
    <x:xf numFmtId="206" fontId="15" fillId="0" borderId="0" xfId="0" applyNumberFormat="1" applyFont="1" applyFill="1" applyBorder="1" applyAlignment="1">
      <x:alignment horizontal="right" vertical="center"/>
    </x:xf>
    <x:xf numFmtId="202" fontId="15" fillId="4" borderId="0" xfId="0" applyNumberFormat="1" applyFont="1" applyFill="1" applyBorder="1" applyAlignment="1">
      <x:alignment horizontal="right" vertical="center"/>
    </x:xf>
    <x:xf numFmtId="202" fontId="18" fillId="4" borderId="0" xfId="0" applyNumberFormat="1" applyFont="1" applyFill="1" applyBorder="1" applyAlignment="1">
      <x:alignment horizontal="right" vertical="center"/>
    </x:xf>
    <x:xf numFmtId="202" fontId="18" fillId="4" borderId="2" xfId="0" applyNumberFormat="1" applyFont="1" applyFill="1" applyBorder="1" applyAlignment="1">
      <x:alignment horizontal="right" vertical="center"/>
    </x:xf>
    <x:xf numFmtId="204" fontId="6" fillId="0" borderId="0" xfId="0" applyNumberFormat="1" applyFont="1" applyFill="1" applyBorder="1" applyAlignment="1">
      <x:alignment horizontal="right" vertical="center"/>
    </x:xf>
    <x:xf numFmtId="204" fontId="11" fillId="0" borderId="0" xfId="0" applyNumberFormat="1" applyFont="1" applyFill="1" applyBorder="1" applyAlignment="1">
      <x:alignment horizontal="right" vertical="center"/>
    </x:xf>
    <x:xf numFmtId="204" fontId="15" fillId="0" borderId="0" xfId="0" applyNumberFormat="1" applyFont="1" applyFill="1" applyBorder="1" applyAlignment="1">
      <x:alignment horizontal="right" vertical="center"/>
    </x:xf>
    <x:xf numFmtId="203" fontId="1" fillId="4" borderId="0" xfId="0" applyNumberFormat="1" applyFont="1" applyFill="1" applyBorder="1" applyAlignment="1">
      <x:alignment horizontal="right" vertical="center"/>
    </x:xf>
    <x:xf numFmtId="203" fontId="10" fillId="4" borderId="0" xfId="0" applyNumberFormat="1" applyFont="1" applyFill="1" applyBorder="1" applyAlignment="1">
      <x:alignment horizontal="right" vertical="center"/>
    </x:xf>
    <x:xf numFmtId="203" fontId="10" fillId="4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horizontal="left" vertical="center"/>
    </x:xf>
    <x:xf numFmtId="202" fontId="1" fillId="0" borderId="0" xfId="0" applyNumberFormat="1" applyFont="1" applyFill="1" applyBorder="1" applyAlignment="1">
      <x:alignment horizontal="left" vertical="center"/>
    </x:xf>
    <x:xf numFmtId="202" fontId="6" fillId="0" borderId="0" xfId="0" applyNumberFormat="1" applyFont="1" applyFill="1" applyBorder="1" applyAlignment="1">
      <x:alignment horizontal="left" vertical="center"/>
    </x:xf>
    <x:xf numFmtId="202" fontId="1" fillId="4" borderId="0" xfId="0" applyNumberFormat="1" applyFont="1" applyFill="1" applyBorder="1" applyAlignment="1">
      <x:alignment horizontal="left" vertical="center"/>
    </x:xf>
    <x:xf numFmtId="202" fontId="6" fillId="4" borderId="0" xfId="0" applyNumberFormat="1" applyFont="1" applyFill="1" applyBorder="1" applyAlignment="1">
      <x:alignment horizontal="left" vertical="center"/>
    </x:xf>
    <x:xf numFmtId="202" fontId="7" fillId="4" borderId="0" xfId="0" applyNumberFormat="1" applyFont="1" applyFill="1" applyBorder="1" applyAlignment="1">
      <x:alignment horizontal="left" vertical="center"/>
    </x:xf>
    <x:xf numFmtId="202" fontId="11" fillId="4" borderId="0" xfId="0" applyNumberFormat="1" applyFont="1" applyFill="1" applyBorder="1" applyAlignment="1">
      <x:alignment horizontal="left" vertical="center"/>
    </x:xf>
    <x:xf numFmtId="202" fontId="7" fillId="4" borderId="0" xfId="0" applyNumberFormat="1" applyFont="1" applyFill="1" applyBorder="1" applyAlignment="1">
      <x:alignment horizontal="right" vertical="center"/>
    </x:xf>
    <x:xf numFmtId="202" fontId="11" fillId="4" borderId="0" xfId="0" applyNumberFormat="1" applyFont="1" applyFill="1" applyBorder="1" applyAlignment="1">
      <x:alignment horizontal="right" vertical="center"/>
    </x:xf>
    <x:xf numFmtId="205" fontId="15" fillId="0" borderId="0" xfId="0" applyNumberFormat="1" applyFont="1" applyFill="1" applyBorder="1" applyAlignment="1">
      <x:alignment horizontal="right" vertical="center"/>
    </x:xf>
    <x:xf numFmtId="205" fontId="6" fillId="0" borderId="0" xfId="0" applyNumberFormat="1" applyFont="1" applyFill="1" applyBorder="1" applyAlignment="1">
      <x:alignment horizontal="right" vertical="center"/>
    </x:xf>
    <x:xf numFmtId="209" fontId="6" fillId="0" borderId="0" xfId="0" applyNumberFormat="1" applyFont="1" applyFill="1" applyBorder="1" applyAlignment="1">
      <x:alignment horizontal="right" vertical="center"/>
    </x:xf>
    <x:xf numFmtId="205" fontId="6" fillId="4" borderId="0" xfId="0" applyNumberFormat="1" applyFont="1" applyFill="1" applyBorder="1" applyAlignment="1">
      <x:alignment horizontal="right" vertical="center"/>
    </x:xf>
    <x:xf numFmtId="205" fontId="17" fillId="4" borderId="0" xfId="0" applyNumberFormat="1" applyFont="1" applyFill="1" applyBorder="1" applyAlignment="1">
      <x:alignment horizontal="right" vertical="center"/>
    </x:xf>
    <x:xf numFmtId="205" fontId="17" fillId="4" borderId="2" xfId="0" applyNumberFormat="1" applyFont="1" applyFill="1" applyBorder="1" applyAlignment="1">
      <x:alignment horizontal="right" vertical="center"/>
    </x:xf>
    <x:xf numFmtId="200" fontId="14" fillId="4" borderId="2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c4d4cb37ce4cda" /><Relationship Type="http://schemas.openxmlformats.org/officeDocument/2006/relationships/theme" Target="/xl/theme/theme1.xml" Id="R004f8c7fdcab4207" /><Relationship Type="http://schemas.openxmlformats.org/officeDocument/2006/relationships/sharedStrings" Target="/xl/sharedStrings.xml" Id="Rb9e7f30cd0fe4813" /><Relationship Type="http://schemas.openxmlformats.org/officeDocument/2006/relationships/worksheet" Target="/xl/worksheets/sheet1.xml" Id="R08bcbacdc425489e" /><Relationship Type="http://schemas.openxmlformats.org/officeDocument/2006/relationships/worksheet" Target="/xl/worksheets/sheet2.xml" Id="R69e5f5221367496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08a3835ec004d0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Revenue forecast ($bn)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Revenue</c:v>
          </c:tx>
          <c:spPr>
            <a:ln xmlns:a="http://schemas.openxmlformats.org/drawingml/2006/main" w="19050">
              <a:solidFill>
                <a:srgbClr val="556B82"/>
              </a:solidFill>
              <a:prstDash val="solid"/>
            </a:ln>
          </c:spPr>
          <c:marker>
            <c:symbol val="none"/>
          </c:marker>
          <c:cat>
            <c:strRef>
              <c:f>'Valuation'!$D$29:$N$29</c:f>
              <c:strCache>
                <c:ptCount val="0"/>
              </c:strCache>
            </c:strRef>
          </c:cat>
          <c:val>
            <c:numRef>
              <c:f>'Valuation'!$D$30:$N$30</c:f>
              <c:numCache>
                <c:formatCode>$0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5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08a3835ec004d0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ebcc4140f0f416d" /></Relationships>
</file>

<file path=xl/worksheets/sheet1.xml><?xml version="1.0" encoding="utf-8"?>
<x:worksheet xmlns:x="http://schemas.openxmlformats.org/spreadsheetml/2006/main">
  <x:sheetPr>
    <x:tabColor rgb="FF344354"/>
  </x:sheetPr>
  <x:sheetViews>
    <x:sheetView showGridLines="0" workbookViewId="0"/>
  </x:sheetViews>
  <x:sheetFormatPr defaultRowHeight="15"/>
  <x:cols>
    <x:col min="1" max="1" width="2.200000047683716" hidden="0" customWidth="1"/>
    <x:col min="2" max="2" width="2.200000047683716" hidden="0" customWidth="1"/>
    <x:col min="3" max="3" width="39" hidden="0" customWidth="1"/>
    <x:col min="4" max="4" width="13" hidden="0" customWidth="1"/>
    <x:col min="5" max="5" width="13" hidden="0" customWidth="1"/>
    <x:col min="6" max="6" width="19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1" customHeight="1">
      <x:c r="A1" s="3"/>
      <x:c r="B1" s="3"/>
      <x:c r="C1" s="3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0" customHeight="1">
      <x:c r="A2" s="3"/>
      <x:c r="B2" s="3"/>
      <x:c r="C2" s="6" t="str">
        <x:v>Anthropic IPO valuation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 ht="21" customHeight="1">
      <x:c r="A3" s="3"/>
      <x:c r="B3" s="3"/>
      <x:c r="C3" s="9" t="str">
        <x:v>USD billions. Research: 30 Sep 2026. Valuation date: assumed 31 Dec 2026.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</x:row>
    <x:row r="4" ht="21" customHeight="1">
      <x:c r="A4" s="3"/>
      <x:c r="B4" s="3"/>
      <x:c r="C4" s="7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</x:row>
    <x:row r="5" ht="21" customHeight="1">
      <x:c r="A5" s="3"/>
      <x:c r="B5" s="3"/>
      <x:c r="C5" s="3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</x:row>
    <x:row r="6" ht="23" customHeight="1">
      <x:c r="A6" s="3"/>
      <x:c r="B6" s="3"/>
      <x:c r="C6" s="12" t="str">
        <x:v>Valuation results</x:v>
      </x:c>
      <x:c r="D6" s="13"/>
      <x:c r="E6" s="13"/>
      <x:c r="F6" s="13"/>
      <x:c r="G6" s="13"/>
      <x:c r="H6" s="13"/>
      <x:c r="I6" s="13"/>
      <x:c r="J6" s="5"/>
      <x:c r="K6" s="5"/>
      <x:c r="L6" s="5"/>
      <x:c r="M6" s="5"/>
      <x:c r="N6" s="5"/>
    </x:row>
    <x:row r="7" ht="21" customHeight="1">
      <x:c r="A7" s="3"/>
      <x:c r="B7" s="3"/>
      <x:c r="C7" s="61" t="str">
        <x:v>Revenue-multiple enterprise value</x:v>
      </x:c>
      <x:c r="D7" s="62" t="n">
        <x:f>D23</x:f>
        <x:v>1950</x:v>
      </x:c>
      <x:c r="E7" s="63"/>
      <x:c r="F7" s="64" t="str">
        <x:v>2028 revenue × selected forward multiple.</x:v>
      </x:c>
      <x:c r="G7" s="63"/>
      <x:c r="H7" s="63"/>
      <x:c r="I7" s="63"/>
      <x:c r="J7" s="5"/>
      <x:c r="K7" s="5"/>
      <x:c r="L7" s="5"/>
      <x:c r="M7" s="5"/>
      <x:c r="N7" s="5"/>
    </x:row>
    <x:row r="8" ht="21" customHeight="1">
      <x:c r="A8" s="3"/>
      <x:c r="B8" s="3"/>
      <x:c r="C8" s="61" t="str">
        <x:v>DCF enterprise value</x:v>
      </x:c>
      <x:c r="D8" s="62" t="n">
        <x:f>D57</x:f>
        <x:v>788.3047505219974</x:v>
      </x:c>
      <x:c r="E8" s="63"/>
      <x:c r="F8" s="64" t="str">
        <x:v>2027–2036 cash flows plus perpetual growth.</x:v>
      </x:c>
      <x:c r="G8" s="63"/>
      <x:c r="H8" s="63"/>
      <x:c r="I8" s="63"/>
      <x:c r="J8" s="5"/>
      <x:c r="K8" s="5"/>
      <x:c r="L8" s="5"/>
      <x:c r="M8" s="5"/>
      <x:c r="N8" s="5"/>
    </x:row>
    <x:row r="9" ht="21" customHeight="1">
      <x:c r="A9" s="3"/>
      <x:c r="B9" s="3"/>
      <x:c r="C9" s="3" t="str">
        <x:v>Illustrative pre-IPO equity value</x:v>
      </x:c>
      <x:c r="D9" s="51" t="n">
        <x:f>D25</x:f>
        <x:v>1950</x:v>
      </x:c>
      <x:c r="E9" s="4"/>
      <x:c r="F9" s="26" t="str">
        <x:v>Net cash assumed zero. Offering proceeds excluded.</x:v>
      </x:c>
      <x:c r="G9" s="4"/>
      <x:c r="H9" s="4"/>
      <x:c r="I9" s="4"/>
      <x:c r="J9" s="5"/>
      <x:c r="K9" s="5"/>
      <x:c r="L9" s="5"/>
      <x:c r="M9" s="5"/>
      <x:c r="N9" s="5"/>
    </x:row>
    <x:row r="10" ht="21" customHeight="1">
      <x:c r="A10" s="3"/>
      <x:c r="B10" s="3"/>
      <x:c r="C10" s="3" t="str">
        <x:v>Reported IPO equity benchmark</x:v>
      </x:c>
      <x:c r="D10" s="51" t="n">
        <x:f>'Inputs'!D15</x:f>
        <x:v>2000</x:v>
      </x:c>
      <x:c r="E10" s="4"/>
      <x:c r="F10" s="26" t="str">
        <x:v>Reference target. Final offer price is unavailable.</x:v>
      </x:c>
      <x:c r="G10" s="4"/>
      <x:c r="H10" s="4"/>
      <x:c r="I10" s="4"/>
      <x:c r="J10" s="5"/>
      <x:c r="K10" s="5"/>
      <x:c r="L10" s="5"/>
      <x:c r="M10" s="5"/>
      <x:c r="N10" s="5"/>
    </x:row>
    <x:row r="11" ht="21" customHeight="1">
      <x:c r="A11" s="3"/>
      <x:c r="B11" s="3"/>
      <x:c r="C11" s="21" t="str">
        <x:v>Multiple equity / benchmark − 1</x:v>
      </x:c>
      <x:c r="D11" s="53" t="n">
        <x:f>D25/D10-1</x:f>
        <x:v>-0.025000000000000022</x:v>
      </x:c>
      <x:c r="E11" s="4"/>
      <x:c r="F11" s="26" t="str">
        <x:v>Illustrative equity comparison using assumed net cash.</x:v>
      </x:c>
      <x:c r="G11" s="4"/>
      <x:c r="H11" s="4"/>
      <x:c r="I11" s="4"/>
      <x:c r="J11" s="5"/>
      <x:c r="K11" s="5"/>
      <x:c r="L11" s="5"/>
      <x:c r="M11" s="5"/>
      <x:c r="N11" s="5"/>
    </x:row>
    <x:row r="12" ht="21" customHeight="1">
      <x:c r="A12" s="3"/>
      <x:c r="B12" s="3"/>
      <x:c r="C12" s="21" t="str">
        <x:v>DCF equity / benchmark − 1</x:v>
      </x:c>
      <x:c r="D12" s="53" t="n">
        <x:f>IF(ISNUMBER(D58),D58/D10-1,"n.a.")</x:f>
        <x:v>-0.6058476247390012</x:v>
      </x:c>
      <x:c r="E12" s="4"/>
      <x:c r="F12" s="26" t="str">
        <x:v>Gap indicates growth and cash margins required.</x:v>
      </x:c>
      <x:c r="G12" s="4"/>
      <x:c r="H12" s="4"/>
      <x:c r="I12" s="4"/>
      <x:c r="J12" s="5"/>
      <x:c r="K12" s="5"/>
      <x:c r="L12" s="5"/>
      <x:c r="M12" s="5"/>
      <x:c r="N12" s="5"/>
    </x:row>
    <x:row r="13" ht="21" customHeight="1">
      <x:c r="A13" s="3"/>
      <x:c r="B13" s="3"/>
      <x:c r="C13" s="21" t="str">
        <x:v>Benchmark EV / 2028 revenue</x:v>
      </x:c>
      <x:c r="D13" s="54" t="n">
        <x:f>(D10-D24)/D21</x:f>
        <x:v>10.256410256410257</x:v>
      </x:c>
      <x:c r="E13" s="4"/>
      <x:c r="F13" s="26" t="str">
        <x:v>Converts equity target using the net cash assumption.</x:v>
      </x:c>
      <x:c r="G13" s="4"/>
      <x:c r="H13" s="4"/>
      <x:c r="I13" s="4"/>
      <x:c r="J13" s="5"/>
      <x:c r="K13" s="5"/>
      <x:c r="L13" s="5"/>
      <x:c r="M13" s="5"/>
      <x:c r="N13" s="5"/>
    </x:row>
    <x:row r="14" ht="21" customHeight="1">
      <x:c r="A14" s="3"/>
      <x:c r="B14" s="3"/>
      <x:c r="C14" s="21" t="str">
        <x:v>Terminal value / DCF enterprise value</x:v>
      </x:c>
      <x:c r="D14" s="53" t="n">
        <x:f>D59</x:f>
        <x:v>0.5725950415726282</x:v>
      </x:c>
      <x:c r="E14" s="4"/>
      <x:c r="F14" s="26" t="str">
        <x:v>Measures reliance on cash flows beyond 2036.</x:v>
      </x:c>
      <x:c r="G14" s="4"/>
      <x:c r="H14" s="4"/>
      <x:c r="I14" s="4"/>
      <x:c r="J14" s="5"/>
      <x:c r="K14" s="5"/>
      <x:c r="L14" s="5"/>
      <x:c r="M14" s="5"/>
      <x:c r="N14" s="5"/>
    </x:row>
    <x:row r="15" ht="21" customHeight="1">
      <x:c r="A15" s="3"/>
      <x:c r="B15" s="3"/>
      <x:c r="C15" s="3"/>
      <x:c r="D15" s="5"/>
      <x:c r="E15" s="4"/>
      <x:c r="F15" s="4"/>
      <x:c r="G15" s="4"/>
      <x:c r="H15" s="4"/>
      <x:c r="I15" s="4"/>
      <x:c r="J15" s="5"/>
      <x:c r="K15" s="5"/>
      <x:c r="L15" s="5"/>
      <x:c r="M15" s="5"/>
      <x:c r="N15" s="5"/>
    </x:row>
    <x:row r="16" ht="21" customHeight="1">
      <x:c r="A16" s="3"/>
      <x:c r="B16" s="3"/>
      <x:c r="C16" s="3" t="str">
        <x:v>2028 revenue used</x:v>
      </x:c>
      <x:c r="D16" s="51" t="n">
        <x:f>D21</x:f>
        <x:v>195</x:v>
      </x:c>
      <x:c r="E16" s="4"/>
      <x:c r="F16" s="26" t="str">
        <x:v>Midpoint of a reported company forecast.</x:v>
      </x:c>
      <x:c r="G16" s="4"/>
      <x:c r="H16" s="4"/>
      <x:c r="I16" s="4"/>
      <x:c r="J16" s="5"/>
      <x:c r="K16" s="5"/>
      <x:c r="L16" s="5"/>
      <x:c r="M16" s="5"/>
      <x:c r="N16" s="5"/>
    </x:row>
    <x:row r="17" ht="21" customHeight="1">
      <x:c r="A17" s="3"/>
      <x:c r="B17" s="3"/>
      <x:c r="C17" s="21" t="str">
        <x:v>Selected EV / revenue multiple</x:v>
      </x:c>
      <x:c r="D17" s="54" t="n">
        <x:f>D22</x:f>
        <x:v>10</x:v>
      </x:c>
      <x:c r="E17" s="4"/>
      <x:c r="F17" s="26" t="str">
        <x:v>Editable on Inputs.</x:v>
      </x:c>
      <x:c r="G17" s="4"/>
      <x:c r="H17" s="4"/>
      <x:c r="I17" s="4"/>
      <x:c r="J17" s="5"/>
      <x:c r="K17" s="5"/>
      <x:c r="L17" s="5"/>
      <x:c r="M17" s="5"/>
      <x:c r="N17" s="5"/>
    </x:row>
    <x:row r="18" ht="21" customHeight="1">
      <x:c r="A18" s="3"/>
      <x:c r="B18" s="3"/>
      <x:c r="C18" s="3"/>
      <x:c r="D18" s="5"/>
      <x:c r="E18" s="4"/>
      <x:c r="F18" s="4"/>
      <x:c r="G18" s="4"/>
      <x:c r="H18" s="4"/>
      <x:c r="I18" s="4"/>
      <x:c r="J18" s="5"/>
      <x:c r="K18" s="5"/>
      <x:c r="L18" s="5"/>
      <x:c r="M18" s="5"/>
      <x:c r="N18" s="5"/>
    </x:row>
    <x:row r="19" ht="21" customHeight="1">
      <x:c r="A19" s="3"/>
      <x:c r="B19" s="3"/>
      <x:c r="C19" s="3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</x:row>
    <x:row r="20" ht="23" customHeight="1">
      <x:c r="A20" s="3"/>
      <x:c r="B20" s="3"/>
      <x:c r="C20" s="12" t="str">
        <x:v>Revenue multiple valuation</x:v>
      </x:c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</x:row>
    <x:row r="21" ht="21" customHeight="1">
      <x:c r="A21" s="3"/>
      <x:c r="B21" s="3"/>
      <x:c r="C21" s="3" t="str">
        <x:v>2028 revenue</x:v>
      </x:c>
      <x:c r="D21" s="18" t="n">
        <x:f>F30</x:f>
        <x:v>195</x:v>
      </x:c>
      <x:c r="E21" s="5"/>
      <x:c r="F21" s="5"/>
      <x:c r="G21" s="5"/>
      <x:c r="H21" s="5"/>
      <x:c r="I21" s="5"/>
      <x:c r="J21" s="5"/>
      <x:c r="K21" s="5"/>
      <x:c r="L21" s="5"/>
      <x:c r="M21" s="5"/>
      <x:c r="N21" s="5"/>
    </x:row>
    <x:row r="22" ht="21" customHeight="1">
      <x:c r="A22" s="3"/>
      <x:c r="B22" s="3"/>
      <x:c r="C22" s="21" t="str">
        <x:v>Selected EV / 2028 revenue</x:v>
      </x:c>
      <x:c r="D22" s="67" t="n">
        <x:f>'Inputs'!D10</x:f>
        <x:v>10</x:v>
      </x:c>
      <x:c r="E22" s="5"/>
      <x:c r="F22" s="5"/>
      <x:c r="G22" s="5"/>
      <x:c r="H22" s="5"/>
      <x:c r="I22" s="5"/>
      <x:c r="J22" s="5"/>
      <x:c r="K22" s="5"/>
      <x:c r="L22" s="5"/>
      <x:c r="M22" s="5"/>
      <x:c r="N22" s="5"/>
    </x:row>
    <x:row r="23" ht="21" customHeight="1">
      <x:c r="A23" s="3"/>
      <x:c r="B23" s="3"/>
      <x:c r="C23" s="3" t="str">
        <x:v>Enterprise value</x:v>
      </x:c>
      <x:c r="D23" s="19" t="n">
        <x:f>D21*D22</x:f>
        <x:v>1950</x:v>
      </x:c>
      <x:c r="E23" s="5"/>
      <x:c r="F23" s="5"/>
      <x:c r="G23" s="5"/>
      <x:c r="H23" s="5"/>
      <x:c r="I23" s="5"/>
      <x:c r="J23" s="5"/>
      <x:c r="K23" s="5"/>
      <x:c r="L23" s="5"/>
      <x:c r="M23" s="5"/>
      <x:c r="N23" s="5"/>
    </x:row>
    <x:row r="24" ht="21" customHeight="1">
      <x:c r="A24" s="3"/>
      <x:c r="B24" s="3"/>
      <x:c r="C24" s="3" t="str">
        <x:v>Add: pre-IPO net cash adjustment</x:v>
      </x:c>
      <x:c r="D24" s="68" t="n">
        <x:f>'Inputs'!D12</x:f>
        <x:v>0</x:v>
      </x:c>
      <x:c r="E24" s="5"/>
      <x:c r="F24" s="5"/>
      <x:c r="G24" s="5"/>
      <x:c r="H24" s="5"/>
      <x:c r="I24" s="5"/>
      <x:c r="J24" s="5"/>
      <x:c r="K24" s="5"/>
      <x:c r="L24" s="5"/>
      <x:c r="M24" s="5"/>
      <x:c r="N24" s="5"/>
    </x:row>
    <x:row r="25" ht="21" customHeight="1">
      <x:c r="A25" s="3"/>
      <x:c r="B25" s="3"/>
      <x:c r="C25" s="61" t="str">
        <x:v>Illustrative pre-IPO equity value</x:v>
      </x:c>
      <x:c r="D25" s="71" t="n">
        <x:f>SUM(D23:D24)</x:f>
        <x:v>1950</x:v>
      </x:c>
      <x:c r="E25" s="72"/>
      <x:c r="F25" s="72"/>
      <x:c r="G25" s="72"/>
      <x:c r="H25" s="72"/>
      <x:c r="I25" s="72"/>
      <x:c r="J25" s="72"/>
      <x:c r="K25" s="72"/>
      <x:c r="L25" s="72"/>
      <x:c r="M25" s="72"/>
      <x:c r="N25" s="72"/>
    </x:row>
    <x:row r="26" ht="21" customHeight="1">
      <x:c r="A26" s="3"/>
      <x:c r="B26" s="3"/>
      <x:c r="C26" s="40" t="str">
        <x:v>Forward multiple prices value at the valuation date. Do not discount the revenue-multiple result again.</x:v>
      </x:c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</x:row>
    <x:row r="27" ht="21" customHeight="1">
      <x:c r="A27" s="3"/>
      <x:c r="B27" s="3"/>
      <x:c r="C27" s="3"/>
      <x:c r="D27" s="5"/>
      <x:c r="E27" s="5"/>
      <x:c r="F27" s="5"/>
      <x:c r="G27" s="5"/>
      <x:c r="H27" s="5"/>
      <x:c r="I27" s="5"/>
      <x:c r="J27" s="5"/>
      <x:c r="K27" s="5"/>
      <x:c r="L27" s="5"/>
      <x:c r="M27" s="5"/>
      <x:c r="N27" s="5"/>
    </x:row>
    <x:row r="28" ht="23" customHeight="1">
      <x:c r="A28" s="3"/>
      <x:c r="B28" s="3"/>
      <x:c r="C28" s="12" t="str">
        <x:v>DCF forecast at the assumed year-end 2026 valuation date</x:v>
      </x:c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</x:row>
    <x:row r="29" ht="21" customHeight="1">
      <x:c r="A29" s="3"/>
      <x:c r="B29" s="3"/>
      <x:c r="C29" s="32" t="str">
        <x:v>Calendar year</x:v>
      </x:c>
      <x:c r="D29" s="76" t="n">
        <x:v>2026</x:v>
      </x:c>
      <x:c r="E29" s="76" t="n">
        <x:v>2027</x:v>
      </x:c>
      <x:c r="F29" s="76" t="n">
        <x:v>2028</x:v>
      </x:c>
      <x:c r="G29" s="76" t="n">
        <x:v>2029</x:v>
      </x:c>
      <x:c r="H29" s="76" t="n">
        <x:v>2030</x:v>
      </x:c>
      <x:c r="I29" s="76" t="n">
        <x:v>2031</x:v>
      </x:c>
      <x:c r="J29" s="76" t="n">
        <x:v>2032</x:v>
      </x:c>
      <x:c r="K29" s="76" t="n">
        <x:v>2033</x:v>
      </x:c>
      <x:c r="L29" s="76" t="n">
        <x:v>2034</x:v>
      </x:c>
      <x:c r="M29" s="76" t="n">
        <x:v>2035</x:v>
      </x:c>
      <x:c r="N29" s="76" t="n">
        <x:v>2036</x:v>
      </x:c>
    </x:row>
    <x:row r="30" ht="21" customHeight="1">
      <x:c r="A30" s="3"/>
      <x:c r="B30" s="3"/>
      <x:c r="C30" s="61" t="str">
        <x:v>Revenue</x:v>
      </x:c>
      <x:c r="D30" s="85" t="n">
        <x:f>'Inputs'!D22</x:f>
        <x:v>60</x:v>
      </x:c>
      <x:c r="E30" s="71" t="n">
        <x:f>D30*(1+E31)</x:f>
        <x:v>120</x:v>
      </x:c>
      <x:c r="F30" s="71" t="n">
        <x:f>E30*(1+F31)</x:f>
        <x:v>195</x:v>
      </x:c>
      <x:c r="G30" s="71" t="n">
        <x:f>F30*(1+G31)</x:f>
        <x:v>263.25</x:v>
      </x:c>
      <x:c r="H30" s="71" t="n">
        <x:f>G30*(1+H31)</x:f>
        <x:v>329.0625</x:v>
      </x:c>
      <x:c r="I30" s="71" t="n">
        <x:f>H30*(1+I31)</x:f>
        <x:v>394.875</x:v>
      </x:c>
      <x:c r="J30" s="71" t="n">
        <x:f>I30*(1+J31)</x:f>
        <x:v>454.10625</x:v>
      </x:c>
      <x:c r="K30" s="71" t="n">
        <x:f>J30*(1+K31)</x:f>
        <x:v>499.516875</x:v>
      </x:c>
      <x:c r="L30" s="71" t="n">
        <x:f>K30*(1+L31)</x:f>
        <x:v>534.48305625</x:v>
      </x:c>
      <x:c r="M30" s="71" t="n">
        <x:f>L30*(1+M31)</x:f>
        <x:v>561.2072090625</x:v>
      </x:c>
      <x:c r="N30" s="71" t="n">
        <x:f>M30*(1+N31)</x:f>
        <x:v>578.0434253343751</x:v>
      </x:c>
    </x:row>
    <x:row r="31" ht="21" customHeight="1">
      <x:c r="A31" s="3"/>
      <x:c r="B31" s="3"/>
      <x:c r="C31" s="21" t="str">
        <x:v>Revenue growth</x:v>
      </x:c>
      <x:c r="D31" s="78" t="n">
        <x:f>D30/'Inputs'!D36-1</x:f>
        <x:v>12.043478260869566</x:v>
      </x:c>
      <x:c r="E31" s="78" t="n">
        <x:f>'Inputs'!E23</x:f>
        <x:v>1</x:v>
      </x:c>
      <x:c r="F31" s="78" t="n">
        <x:f>'Inputs'!F23</x:f>
        <x:v>0.625</x:v>
      </x:c>
      <x:c r="G31" s="78" t="n">
        <x:f>'Inputs'!G23</x:f>
        <x:v>0.35</x:v>
      </x:c>
      <x:c r="H31" s="78" t="n">
        <x:f>'Inputs'!H23</x:f>
        <x:v>0.25</x:v>
      </x:c>
      <x:c r="I31" s="78" t="n">
        <x:f>'Inputs'!I23</x:f>
        <x:v>0.2</x:v>
      </x:c>
      <x:c r="J31" s="78" t="n">
        <x:f>'Inputs'!J23</x:f>
        <x:v>0.15</x:v>
      </x:c>
      <x:c r="K31" s="78" t="n">
        <x:f>'Inputs'!K23</x:f>
        <x:v>0.1</x:v>
      </x:c>
      <x:c r="L31" s="78" t="n">
        <x:f>'Inputs'!L23</x:f>
        <x:v>0.07</x:v>
      </x:c>
      <x:c r="M31" s="78" t="n">
        <x:f>'Inputs'!M23</x:f>
        <x:v>0.05</x:v>
      </x:c>
      <x:c r="N31" s="78" t="n">
        <x:f>'Inputs'!N23</x:f>
        <x:v>0.03</x:v>
      </x:c>
    </x:row>
    <x:row r="32" ht="21" customHeight="1">
      <x:c r="A32" s="3"/>
      <x:c r="B32" s="3"/>
      <x:c r="C32" s="21" t="str">
        <x:v>EBIT margin</x:v>
      </x:c>
      <x:c r="D32" s="53"/>
      <x:c r="E32" s="78" t="n">
        <x:f>'Inputs'!E24</x:f>
        <x:v>0.1</x:v>
      </x:c>
      <x:c r="F32" s="78" t="n">
        <x:f>'Inputs'!F24</x:f>
        <x:v>0.2</x:v>
      </x:c>
      <x:c r="G32" s="78" t="n">
        <x:f>'Inputs'!G24</x:f>
        <x:v>0.25</x:v>
      </x:c>
      <x:c r="H32" s="78" t="n">
        <x:f>'Inputs'!H24</x:f>
        <x:v>0.3</x:v>
      </x:c>
      <x:c r="I32" s="78" t="n">
        <x:f>'Inputs'!I24</x:f>
        <x:v>0.32</x:v>
      </x:c>
      <x:c r="J32" s="78" t="n">
        <x:f>'Inputs'!J24</x:f>
        <x:v>0.33</x:v>
      </x:c>
      <x:c r="K32" s="78" t="n">
        <x:f>'Inputs'!K24</x:f>
        <x:v>0.34</x:v>
      </x:c>
      <x:c r="L32" s="78" t="n">
        <x:f>'Inputs'!L24</x:f>
        <x:v>0.35</x:v>
      </x:c>
      <x:c r="M32" s="78" t="n">
        <x:f>'Inputs'!M24</x:f>
        <x:v>0.35</x:v>
      </x:c>
      <x:c r="N32" s="78" t="n">
        <x:f>'Inputs'!N24</x:f>
        <x:v>0.35</x:v>
      </x:c>
    </x:row>
    <x:row r="33" ht="21" customHeight="1">
      <x:c r="A33" s="3"/>
      <x:c r="B33" s="3"/>
      <x:c r="C33" s="3" t="str">
        <x:v>EBIT</x:v>
      </x:c>
      <x:c r="D33" s="5"/>
      <x:c r="E33" s="18" t="n">
        <x:f>E30*E32</x:f>
        <x:v>12</x:v>
      </x:c>
      <x:c r="F33" s="18" t="n">
        <x:f>F30*F32</x:f>
        <x:v>39</x:v>
      </x:c>
      <x:c r="G33" s="18" t="n">
        <x:f>G30*G32</x:f>
        <x:v>65.8125</x:v>
      </x:c>
      <x:c r="H33" s="18" t="n">
        <x:f>H30*H32</x:f>
        <x:v>98.71875</x:v>
      </x:c>
      <x:c r="I33" s="18" t="n">
        <x:f>I30*I32</x:f>
        <x:v>126.36</x:v>
      </x:c>
      <x:c r="J33" s="18" t="n">
        <x:f>J30*J32</x:f>
        <x:v>149.8550625</x:v>
      </x:c>
      <x:c r="K33" s="18" t="n">
        <x:f>K30*K32</x:f>
        <x:v>169.83573750000002</x:v>
      </x:c>
      <x:c r="L33" s="18" t="n">
        <x:f>L30*L32</x:f>
        <x:v>187.0690696875</x:v>
      </x:c>
      <x:c r="M33" s="18" t="n">
        <x:f>M30*M32</x:f>
        <x:v>196.422523171875</x:v>
      </x:c>
      <x:c r="N33" s="18" t="n">
        <x:f>N30*N32</x:f>
        <x:v>202.31519886703128</x:v>
      </x:c>
    </x:row>
    <x:row r="34" ht="21" customHeight="1">
      <x:c r="A34" s="3"/>
      <x:c r="B34" s="3"/>
      <x:c r="C34" s="3" t="str">
        <x:v>Cash taxes</x:v>
      </x:c>
      <x:c r="D34" s="5"/>
      <x:c r="E34" s="65" t="n">
        <x:f>-MAX(E33,0)*'Inputs'!$D$14</x:f>
        <x:v>-3</x:v>
      </x:c>
      <x:c r="F34" s="65" t="n">
        <x:f>-MAX(F33,0)*'Inputs'!$D$14</x:f>
        <x:v>-9.75</x:v>
      </x:c>
      <x:c r="G34" s="65" t="n">
        <x:f>-MAX(G33,0)*'Inputs'!$D$14</x:f>
        <x:v>-16.453125</x:v>
      </x:c>
      <x:c r="H34" s="65" t="n">
        <x:f>-MAX(H33,0)*'Inputs'!$D$14</x:f>
        <x:v>-24.6796875</x:v>
      </x:c>
      <x:c r="I34" s="65" t="n">
        <x:f>-MAX(I33,0)*'Inputs'!$D$14</x:f>
        <x:v>-31.59</x:v>
      </x:c>
      <x:c r="J34" s="65" t="n">
        <x:f>-MAX(J33,0)*'Inputs'!$D$14</x:f>
        <x:v>-37.463765625</x:v>
      </x:c>
      <x:c r="K34" s="65" t="n">
        <x:f>-MAX(K33,0)*'Inputs'!$D$14</x:f>
        <x:v>-42.458934375000005</x:v>
      </x:c>
      <x:c r="L34" s="65" t="n">
        <x:f>-MAX(L33,0)*'Inputs'!$D$14</x:f>
        <x:v>-46.767267421875</x:v>
      </x:c>
      <x:c r="M34" s="65" t="n">
        <x:f>-MAX(M33,0)*'Inputs'!$D$14</x:f>
        <x:v>-49.10563079296875</x:v>
      </x:c>
      <x:c r="N34" s="65" t="n">
        <x:f>-MAX(N33,0)*'Inputs'!$D$14</x:f>
        <x:v>-50.57879971675782</x:v>
      </x:c>
    </x:row>
    <x:row r="35" ht="21" customHeight="1">
      <x:c r="A35" s="3"/>
      <x:c r="B35" s="3"/>
      <x:c r="C35" s="61" t="str">
        <x:v>After-tax operating profit</x:v>
      </x:c>
      <x:c r="D35" s="62"/>
      <x:c r="E35" s="71" t="n">
        <x:f>SUM(E33:E34)</x:f>
        <x:v>9</x:v>
      </x:c>
      <x:c r="F35" s="71" t="n">
        <x:f>SUM(F33:F34)</x:f>
        <x:v>29.25</x:v>
      </x:c>
      <x:c r="G35" s="71" t="n">
        <x:f>SUM(G33:G34)</x:f>
        <x:v>49.359375</x:v>
      </x:c>
      <x:c r="H35" s="71" t="n">
        <x:f>SUM(H33:H34)</x:f>
        <x:v>74.0390625</x:v>
      </x:c>
      <x:c r="I35" s="71" t="n">
        <x:f>SUM(I33:I34)</x:f>
        <x:v>94.77</x:v>
      </x:c>
      <x:c r="J35" s="71" t="n">
        <x:f>SUM(J33:J34)</x:f>
        <x:v>112.391296875</x:v>
      </x:c>
      <x:c r="K35" s="71" t="n">
        <x:f>SUM(K33:K34)</x:f>
        <x:v>127.37680312500001</x:v>
      </x:c>
      <x:c r="L35" s="71" t="n">
        <x:f>SUM(L33:L34)</x:f>
        <x:v>140.30180226562499</x:v>
      </x:c>
      <x:c r="M35" s="71" t="n">
        <x:f>SUM(M33:M34)</x:f>
        <x:v>147.31689237890626</x:v>
      </x:c>
      <x:c r="N35" s="71" t="n">
        <x:f>SUM(N33:N34)</x:f>
        <x:v>151.73639915027346</x:v>
      </x:c>
    </x:row>
    <x:row r="36" ht="21" customHeight="1">
      <x:c r="A36" s="3"/>
      <x:c r="B36" s="3"/>
      <x:c r="C36" s="3" t="str">
        <x:v>Add: depreciation &amp; amortization</x:v>
      </x:c>
      <x:c r="D36" s="5"/>
      <x:c r="E36" s="65" t="n">
        <x:f>E30*'Inputs'!E25</x:f>
        <x:v>3.5999999999999996</x:v>
      </x:c>
      <x:c r="F36" s="65" t="n">
        <x:f>F30*'Inputs'!F25</x:f>
        <x:v>5.85</x:v>
      </x:c>
      <x:c r="G36" s="65" t="n">
        <x:f>G30*'Inputs'!G25</x:f>
        <x:v>7.8975</x:v>
      </x:c>
      <x:c r="H36" s="65" t="n">
        <x:f>H30*'Inputs'!H25</x:f>
        <x:v>9.871875</x:v>
      </x:c>
      <x:c r="I36" s="65" t="n">
        <x:f>I30*'Inputs'!I25</x:f>
        <x:v>11.84625</x:v>
      </x:c>
      <x:c r="J36" s="65" t="n">
        <x:f>J30*'Inputs'!J25</x:f>
        <x:v>13.623187499999998</x:v>
      </x:c>
      <x:c r="K36" s="65" t="n">
        <x:f>K30*'Inputs'!K25</x:f>
        <x:v>14.98550625</x:v>
      </x:c>
      <x:c r="L36" s="65" t="n">
        <x:f>L30*'Inputs'!L25</x:f>
        <x:v>16.0344916875</x:v>
      </x:c>
      <x:c r="M36" s="65" t="n">
        <x:f>M30*'Inputs'!M25</x:f>
        <x:v>16.836216271875003</x:v>
      </x:c>
      <x:c r="N36" s="65" t="n">
        <x:f>N30*'Inputs'!N25</x:f>
        <x:v>17.34130276003125</x:v>
      </x:c>
    </x:row>
    <x:row r="37" ht="21" customHeight="1">
      <x:c r="A37" s="3"/>
      <x:c r="B37" s="3"/>
      <x:c r="C37" s="3" t="str">
        <x:v>Less: cash capital expenditure</x:v>
      </x:c>
      <x:c r="D37" s="5"/>
      <x:c r="E37" s="65" t="n">
        <x:f>-E30*'Inputs'!E26</x:f>
        <x:v>-9.6</x:v>
      </x:c>
      <x:c r="F37" s="65" t="n">
        <x:f>-F30*'Inputs'!F26</x:f>
        <x:v>-15.6</x:v>
      </x:c>
      <x:c r="G37" s="65" t="n">
        <x:f>-G30*'Inputs'!G26</x:f>
        <x:v>-21.06</x:v>
      </x:c>
      <x:c r="H37" s="65" t="n">
        <x:f>-H30*'Inputs'!H26</x:f>
        <x:v>-26.325</x:v>
      </x:c>
      <x:c r="I37" s="65" t="n">
        <x:f>-I30*'Inputs'!I26</x:f>
        <x:v>-31.59</x:v>
      </x:c>
      <x:c r="J37" s="65" t="n">
        <x:f>-J30*'Inputs'!J26</x:f>
        <x:v>-36.3285</x:v>
      </x:c>
      <x:c r="K37" s="65" t="n">
        <x:f>-K30*'Inputs'!K26</x:f>
        <x:v>-39.96135</x:v>
      </x:c>
      <x:c r="L37" s="65" t="n">
        <x:f>-L30*'Inputs'!L26</x:f>
        <x:v>-42.7586445</x:v>
      </x:c>
      <x:c r="M37" s="65" t="n">
        <x:f>-M30*'Inputs'!M26</x:f>
        <x:v>-44.896576725</x:v>
      </x:c>
      <x:c r="N37" s="65" t="n">
        <x:f>-N30*'Inputs'!N26</x:f>
        <x:v>-46.24347402675001</x:v>
      </x:c>
    </x:row>
    <x:row r="38" ht="21" customHeight="1">
      <x:c r="A38" s="3"/>
      <x:c r="B38" s="3"/>
      <x:c r="C38" s="3" t="str">
        <x:v>Operating working capital balance</x:v>
      </x:c>
      <x:c r="D38" s="65" t="n">
        <x:f>D30*'Inputs'!D27</x:f>
        <x:v>1.2</x:v>
      </x:c>
      <x:c r="E38" s="65" t="n">
        <x:f>E30*'Inputs'!E27</x:f>
        <x:v>2.4</x:v>
      </x:c>
      <x:c r="F38" s="65" t="n">
        <x:f>F30*'Inputs'!F27</x:f>
        <x:v>3.9</x:v>
      </x:c>
      <x:c r="G38" s="65" t="n">
        <x:f>G30*'Inputs'!G27</x:f>
        <x:v>5.265</x:v>
      </x:c>
      <x:c r="H38" s="65" t="n">
        <x:f>H30*'Inputs'!H27</x:f>
        <x:v>6.58125</x:v>
      </x:c>
      <x:c r="I38" s="65" t="n">
        <x:f>I30*'Inputs'!I27</x:f>
        <x:v>7.8975</x:v>
      </x:c>
      <x:c r="J38" s="65" t="n">
        <x:f>J30*'Inputs'!J27</x:f>
        <x:v>9.082125</x:v>
      </x:c>
      <x:c r="K38" s="65" t="n">
        <x:f>K30*'Inputs'!K27</x:f>
        <x:v>9.9903375</x:v>
      </x:c>
      <x:c r="L38" s="65" t="n">
        <x:f>L30*'Inputs'!L27</x:f>
        <x:v>10.689661125</x:v>
      </x:c>
      <x:c r="M38" s="65" t="n">
        <x:f>M30*'Inputs'!M27</x:f>
        <x:v>11.22414418125</x:v>
      </x:c>
      <x:c r="N38" s="65" t="n">
        <x:f>N30*'Inputs'!N27</x:f>
        <x:v>11.560868506687502</x:v>
      </x:c>
    </x:row>
    <x:row r="39" ht="21" customHeight="1">
      <x:c r="A39" s="3"/>
      <x:c r="B39" s="3"/>
      <x:c r="C39" s="3" t="str">
        <x:v>Less: increase in working capital</x:v>
      </x:c>
      <x:c r="D39" s="5"/>
      <x:c r="E39" s="18" t="n">
        <x:f>-(E38-D38)</x:f>
        <x:v>-1.2</x:v>
      </x:c>
      <x:c r="F39" s="18" t="n">
        <x:f>-(F38-E38)</x:f>
        <x:v>-1.5</x:v>
      </x:c>
      <x:c r="G39" s="18" t="n">
        <x:f>-(G38-F38)</x:f>
        <x:v>-1.3649999999999998</x:v>
      </x:c>
      <x:c r="H39" s="18" t="n">
        <x:f>-(H38-G38)</x:f>
        <x:v>-1.3162500000000001</x:v>
      </x:c>
      <x:c r="I39" s="18" t="n">
        <x:f>-(I38-H38)</x:f>
        <x:v>-1.3162500000000001</x:v>
      </x:c>
      <x:c r="J39" s="18" t="n">
        <x:f>-(J38-I38)</x:f>
        <x:v>-1.1846249999999996</x:v>
      </x:c>
      <x:c r="K39" s="18" t="n">
        <x:f>-(K38-J38)</x:f>
        <x:v>-0.9082125000000012</x:v>
      </x:c>
      <x:c r="L39" s="18" t="n">
        <x:f>-(L38-K38)</x:f>
        <x:v>-0.6993236249999999</x:v>
      </x:c>
      <x:c r="M39" s="18" t="n">
        <x:f>-(M38-L38)</x:f>
        <x:v>-0.53448305625</x:v>
      </x:c>
      <x:c r="N39" s="18" t="n">
        <x:f>-(N38-M38)</x:f>
        <x:v>-0.3367243254375012</x:v>
      </x:c>
    </x:row>
    <x:row r="40" ht="21" customHeight="1">
      <x:c r="A40" s="3"/>
      <x:c r="B40" s="3"/>
      <x:c r="C40" s="61" t="str">
        <x:v>Unlevered free cash flow</x:v>
      </x:c>
      <x:c r="D40" s="62"/>
      <x:c r="E40" s="71" t="n">
        <x:f>SUM(E35:E37,E39)</x:f>
        <x:v>1.8</x:v>
      </x:c>
      <x:c r="F40" s="71" t="n">
        <x:f>SUM(F35:F37,F39)</x:f>
        <x:v>18</x:v>
      </x:c>
      <x:c r="G40" s="71" t="n">
        <x:f>SUM(G35:G37,G39)</x:f>
        <x:v>34.831875000000004</x:v>
      </x:c>
      <x:c r="H40" s="71" t="n">
        <x:f>SUM(H35:H37,H39)</x:f>
        <x:v>56.2696875</x:v>
      </x:c>
      <x:c r="I40" s="71" t="n">
        <x:f>SUM(I35:I37,I39)</x:f>
        <x:v>73.71</x:v>
      </x:c>
      <x:c r="J40" s="71" t="n">
        <x:f>SUM(J35:J37,J39)</x:f>
        <x:v>88.501359375</x:v>
      </x:c>
      <x:c r="K40" s="71" t="n">
        <x:f>SUM(K35:K37,K39)</x:f>
        <x:v>101.49274687499998</x:v>
      </x:c>
      <x:c r="L40" s="71" t="n">
        <x:f>SUM(L35:L37,L39)</x:f>
        <x:v>112.87832582812499</x:v>
      </x:c>
      <x:c r="M40" s="71" t="n">
        <x:f>SUM(M35:M37,M39)</x:f>
        <x:v>118.72204886953126</x:v>
      </x:c>
      <x:c r="N40" s="71" t="n">
        <x:f>SUM(N35:N37,N39)</x:f>
        <x:v>122.4975035581172</x:v>
      </x:c>
    </x:row>
    <x:row r="41" ht="21" customHeight="1">
      <x:c r="A41" s="3"/>
      <x:c r="B41" s="3"/>
      <x:c r="C41" s="3" t="str">
        <x:v>Years from valuation date</x:v>
      </x:c>
      <x:c r="D41" s="5"/>
      <x:c r="E41" s="82" t="n">
        <x:f>E$29-YEAR('Inputs'!$D$7)</x:f>
        <x:v>1</x:v>
      </x:c>
      <x:c r="F41" s="82" t="n">
        <x:f>F$29-YEAR('Inputs'!$D$7)</x:f>
        <x:v>2</x:v>
      </x:c>
      <x:c r="G41" s="82" t="n">
        <x:f>G$29-YEAR('Inputs'!$D$7)</x:f>
        <x:v>3</x:v>
      </x:c>
      <x:c r="H41" s="82" t="n">
        <x:f>H$29-YEAR('Inputs'!$D$7)</x:f>
        <x:v>4</x:v>
      </x:c>
      <x:c r="I41" s="82" t="n">
        <x:f>I$29-YEAR('Inputs'!$D$7)</x:f>
        <x:v>5</x:v>
      </x:c>
      <x:c r="J41" s="82" t="n">
        <x:f>J$29-YEAR('Inputs'!$D$7)</x:f>
        <x:v>6</x:v>
      </x:c>
      <x:c r="K41" s="82" t="n">
        <x:f>K$29-YEAR('Inputs'!$D$7)</x:f>
        <x:v>7</x:v>
      </x:c>
      <x:c r="L41" s="82" t="n">
        <x:f>L$29-YEAR('Inputs'!$D$7)</x:f>
        <x:v>8</x:v>
      </x:c>
      <x:c r="M41" s="82" t="n">
        <x:f>M$29-YEAR('Inputs'!$D$7)</x:f>
        <x:v>9</x:v>
      </x:c>
      <x:c r="N41" s="82" t="n">
        <x:f>N$29-YEAR('Inputs'!$D$7)</x:f>
        <x:v>10</x:v>
      </x:c>
    </x:row>
    <x:row r="42" ht="21" customHeight="1">
      <x:c r="A42" s="3"/>
      <x:c r="B42" s="3"/>
      <x:c r="C42" s="21" t="str">
        <x:v>Discount factor</x:v>
      </x:c>
      <x:c r="D42" s="80"/>
      <x:c r="E42" s="81" t="n">
        <x:f>(1+'Inputs'!$D$11)^(-E41)</x:f>
        <x:v>0.8928571428571428</x:v>
      </x:c>
      <x:c r="F42" s="81" t="n">
        <x:f>(1+'Inputs'!$D$11)^(-F41)</x:f>
        <x:v>0.7971938775510202</x:v>
      </x:c>
      <x:c r="G42" s="81" t="n">
        <x:f>(1+'Inputs'!$D$11)^(-G41)</x:f>
        <x:v>0.7117802478134109</x:v>
      </x:c>
      <x:c r="H42" s="81" t="n">
        <x:f>(1+'Inputs'!$D$11)^(-H41)</x:f>
        <x:v>0.6355180784048311</x:v>
      </x:c>
      <x:c r="I42" s="81" t="n">
        <x:f>(1+'Inputs'!$D$11)^(-I41)</x:f>
        <x:v>0.5674268557185991</x:v>
      </x:c>
      <x:c r="J42" s="81" t="n">
        <x:f>(1+'Inputs'!$D$11)^(-J41)</x:f>
        <x:v>0.5066311211773206</x:v>
      </x:c>
      <x:c r="K42" s="81" t="n">
        <x:f>(1+'Inputs'!$D$11)^(-K41)</x:f>
        <x:v>0.4523492153368934</x:v>
      </x:c>
      <x:c r="L42" s="81" t="n">
        <x:f>(1+'Inputs'!$D$11)^(-L41)</x:f>
        <x:v>0.40388322797936904</x:v>
      </x:c>
      <x:c r="M42" s="81" t="n">
        <x:f>(1+'Inputs'!$D$11)^(-M41)</x:f>
        <x:v>0.36061002498157946</x:v>
      </x:c>
      <x:c r="N42" s="81" t="n">
        <x:f>(1+'Inputs'!$D$11)^(-N41)</x:f>
        <x:v>0.32197323659069593</x:v>
      </x:c>
    </x:row>
    <x:row r="43" ht="21" customHeight="1">
      <x:c r="A43" s="3"/>
      <x:c r="B43" s="3"/>
      <x:c r="C43" s="61" t="str">
        <x:v>Present value of free cash flow</x:v>
      </x:c>
      <x:c r="D43" s="62"/>
      <x:c r="E43" s="71" t="n">
        <x:f>E40*E42</x:f>
        <x:v>1.607142857142857</x:v>
      </x:c>
      <x:c r="F43" s="71" t="n">
        <x:f>F40*F42</x:f>
        <x:v>14.349489795918364</x:v>
      </x:c>
      <x:c r="G43" s="71" t="n">
        <x:f>G40*G42</x:f>
        <x:v>24.792640619305754</x:v>
      </x:c>
      <x:c r="H43" s="71" t="n">
        <x:f>H40*H42</x:f>
        <x:v>35.76040367244035</x:v>
      </x:c>
      <x:c r="I43" s="71" t="n">
        <x:f>I40*I42</x:f>
        <x:v>41.82503353501794</x:v>
      </x:c>
      <x:c r="J43" s="71" t="n">
        <x:f>J40*J42</x:f>
        <x:v>44.83754292587322</x:v>
      </x:c>
      <x:c r="K43" s="71" t="n">
        <x:f>K40*K42</x:f>
        <x:v>45.91016441129218</x:v>
      </x:c>
      <x:c r="L43" s="71" t="n">
        <x:f>L40*L42</x:f>
        <x:v>45.589662604370105</x:v>
      </x:c>
      <x:c r="M43" s="71" t="n">
        <x:f>M40*M42</x:f>
        <x:v>42.81236100870596</x:v>
      </x:c>
      <x:c r="N43" s="71" t="n">
        <x:f>N40*N42</x:f>
        <x:v>39.44091769488729</x:v>
      </x:c>
    </x:row>
    <x:row r="44" ht="21" customHeight="1">
      <x:c r="A44" s="3"/>
      <x:c r="B44" s="3"/>
      <x:c r="C44" s="3"/>
      <x:c r="D44" s="5"/>
      <x:c r="E44" s="5"/>
      <x:c r="F44" s="5"/>
      <x:c r="G44" s="5"/>
      <x:c r="H44" s="5"/>
      <x:c r="I44" s="5"/>
      <x:c r="J44" s="5"/>
      <x:c r="K44" s="5"/>
      <x:c r="L44" s="5"/>
      <x:c r="M44" s="5"/>
      <x:c r="N44" s="5"/>
    </x:row>
    <x:row r="45" ht="23" customHeight="1">
      <x:c r="A45" s="3"/>
      <x:c r="B45" s="3"/>
      <x:c r="C45" s="12" t="str">
        <x:v>Terminal value and DCF calculation</x:v>
      </x:c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</x:row>
    <x:row r="46" ht="21" customHeight="1">
      <x:c r="A46" s="3"/>
      <x:c r="B46" s="3"/>
      <x:c r="C46" s="3" t="str">
        <x:v>2037 terminal revenue</x:v>
      </x:c>
      <x:c r="D46" s="68" t="n">
        <x:f>N30*(1+'Inputs'!D13)</x:f>
        <x:v>595.3847280944063</x:v>
      </x:c>
      <x:c r="E46" s="4"/>
      <x:c r="F46" s="4"/>
      <x:c r="G46" s="4"/>
      <x:c r="H46" s="4"/>
      <x:c r="I46" s="4"/>
      <x:c r="J46" s="4"/>
      <x:c r="K46" s="4"/>
      <x:c r="L46" s="4"/>
      <x:c r="M46" s="4"/>
      <x:c r="N46" s="4"/>
    </x:row>
    <x:row r="47" ht="21" customHeight="1">
      <x:c r="A47" s="3"/>
      <x:c r="B47" s="3"/>
      <x:c r="C47" s="3" t="str">
        <x:v>Terminal EBIT</x:v>
      </x:c>
      <x:c r="D47" s="19" t="n">
        <x:f>D46*N32</x:f>
        <x:v>208.38465483304222</x:v>
      </x:c>
      <x:c r="E47" s="4"/>
      <x:c r="F47" s="4"/>
      <x:c r="G47" s="4"/>
      <x:c r="H47" s="4"/>
      <x:c r="I47" s="4"/>
      <x:c r="J47" s="4"/>
      <x:c r="K47" s="4"/>
      <x:c r="L47" s="4"/>
      <x:c r="M47" s="4"/>
      <x:c r="N47" s="4"/>
    </x:row>
    <x:row r="48" ht="21" customHeight="1">
      <x:c r="A48" s="3"/>
      <x:c r="B48" s="3"/>
      <x:c r="C48" s="3" t="str">
        <x:v>Terminal cash taxes</x:v>
      </x:c>
      <x:c r="D48" s="68" t="n">
        <x:f>-MAX(D47,0)*'Inputs'!D14</x:f>
        <x:v>-52.096163708260555</x:v>
      </x:c>
      <x:c r="E48" s="4"/>
      <x:c r="F48" s="4"/>
      <x:c r="G48" s="4"/>
      <x:c r="H48" s="4"/>
      <x:c r="I48" s="4"/>
      <x:c r="J48" s="4"/>
      <x:c r="K48" s="4"/>
      <x:c r="L48" s="4"/>
      <x:c r="M48" s="4"/>
      <x:c r="N48" s="4"/>
    </x:row>
    <x:row r="49" ht="21" customHeight="1">
      <x:c r="A49" s="3"/>
      <x:c r="B49" s="3"/>
      <x:c r="C49" s="3" t="str">
        <x:v>Terminal after-tax operating profit</x:v>
      </x:c>
      <x:c r="D49" s="19" t="n">
        <x:f>SUM(D47:D48)</x:f>
        <x:v>156.28849112478167</x:v>
      </x:c>
      <x:c r="E49" s="4"/>
      <x:c r="F49" s="4"/>
      <x:c r="G49" s="4"/>
      <x:c r="H49" s="4"/>
      <x:c r="I49" s="4"/>
      <x:c r="J49" s="4"/>
      <x:c r="K49" s="4"/>
      <x:c r="L49" s="4"/>
      <x:c r="M49" s="4"/>
      <x:c r="N49" s="4"/>
    </x:row>
    <x:row r="50" ht="21" customHeight="1">
      <x:c r="A50" s="3"/>
      <x:c r="B50" s="3"/>
      <x:c r="C50" s="3" t="str">
        <x:v>Terminal D&amp;A</x:v>
      </x:c>
      <x:c r="D50" s="68" t="n">
        <x:f>D46*'Inputs'!N25</x:f>
        <x:v>17.86154184283219</x:v>
      </x:c>
      <x:c r="E50" s="4"/>
      <x:c r="F50" s="4"/>
      <x:c r="G50" s="4"/>
      <x:c r="H50" s="4"/>
      <x:c r="I50" s="4"/>
      <x:c r="J50" s="4"/>
      <x:c r="K50" s="4"/>
      <x:c r="L50" s="4"/>
      <x:c r="M50" s="4"/>
      <x:c r="N50" s="4"/>
    </x:row>
    <x:row r="51" ht="21" customHeight="1">
      <x:c r="A51" s="3"/>
      <x:c r="B51" s="3"/>
      <x:c r="C51" s="3" t="str">
        <x:v>Terminal cash capex</x:v>
      </x:c>
      <x:c r="D51" s="68" t="n">
        <x:f>-D46*'Inputs'!N26</x:f>
        <x:v>-47.630778247552506</x:v>
      </x:c>
      <x:c r="E51" s="4"/>
      <x:c r="F51" s="4"/>
      <x:c r="G51" s="4"/>
      <x:c r="H51" s="4"/>
      <x:c r="I51" s="4"/>
      <x:c r="J51" s="4"/>
      <x:c r="K51" s="4"/>
      <x:c r="L51" s="4"/>
      <x:c r="M51" s="4"/>
      <x:c r="N51" s="4"/>
    </x:row>
    <x:row r="52" ht="21" customHeight="1">
      <x:c r="A52" s="3"/>
      <x:c r="B52" s="3"/>
      <x:c r="C52" s="3" t="str">
        <x:v>Terminal change in working capital</x:v>
      </x:c>
      <x:c r="D52" s="68" t="n">
        <x:f>-(D46-N30)*'Inputs'!N27</x:f>
        <x:v>-0.34682605520062454</x:v>
      </x:c>
      <x:c r="E52" s="4"/>
      <x:c r="F52" s="4"/>
      <x:c r="G52" s="4"/>
      <x:c r="H52" s="4"/>
      <x:c r="I52" s="4"/>
      <x:c r="J52" s="4"/>
      <x:c r="K52" s="4"/>
      <x:c r="L52" s="4"/>
      <x:c r="M52" s="4"/>
      <x:c r="N52" s="4"/>
    </x:row>
    <x:row r="53" ht="21" customHeight="1">
      <x:c r="A53" s="3"/>
      <x:c r="B53" s="3"/>
      <x:c r="C53" s="3" t="str">
        <x:v>Terminal unlevered free cash flow</x:v>
      </x:c>
      <x:c r="D53" s="19" t="n">
        <x:f>SUM(D49:D52)</x:f>
        <x:v>126.17242866486073</x:v>
      </x:c>
      <x:c r="E53" s="4"/>
      <x:c r="F53" s="4"/>
      <x:c r="G53" s="4"/>
      <x:c r="H53" s="4"/>
      <x:c r="I53" s="4"/>
      <x:c r="J53" s="4"/>
      <x:c r="K53" s="4"/>
      <x:c r="L53" s="4"/>
      <x:c r="M53" s="4"/>
      <x:c r="N53" s="4"/>
    </x:row>
    <x:row r="54" ht="21" customHeight="1">
      <x:c r="A54" s="3"/>
      <x:c r="B54" s="3"/>
      <x:c r="C54" s="3" t="str">
        <x:v>Terminal enterprise value</x:v>
      </x:c>
      <x:c r="D54" s="68" t="n">
        <x:f>IF('Inputs'!D11&gt;'Inputs'!D13,D53/('Inputs'!D11-'Inputs'!D13),"n.a.")</x:f>
        <x:v>1401.915874054008</x:v>
      </x:c>
      <x:c r="E54" s="4"/>
      <x:c r="F54" s="26" t="str">
        <x:v>Terminal FCF / (WACC − growth). Returns n.a. if WACC ≤ growth.</x:v>
      </x:c>
      <x:c r="G54" s="4"/>
      <x:c r="H54" s="4"/>
      <x:c r="I54" s="4"/>
      <x:c r="J54" s="4"/>
      <x:c r="K54" s="4"/>
      <x:c r="L54" s="4"/>
      <x:c r="M54" s="4"/>
      <x:c r="N54" s="4"/>
    </x:row>
    <x:row r="55" ht="21" customHeight="1">
      <x:c r="A55" s="3"/>
      <x:c r="B55" s="3"/>
      <x:c r="C55" s="3" t="str">
        <x:v>Present value of terminal value</x:v>
      </x:c>
      <x:c r="D55" s="19" t="n">
        <x:f>IF(ISNUMBER(D54),D54*N42,"n.a.")</x:f>
        <x:v>451.37939139704343</x:v>
      </x:c>
      <x:c r="E55" s="4"/>
      <x:c r="F55" s="4"/>
      <x:c r="G55" s="4"/>
      <x:c r="H55" s="4"/>
      <x:c r="I55" s="4"/>
      <x:c r="J55" s="4"/>
      <x:c r="K55" s="4"/>
      <x:c r="L55" s="4"/>
      <x:c r="M55" s="4"/>
      <x:c r="N55" s="4"/>
    </x:row>
    <x:row r="56" ht="21" customHeight="1">
      <x:c r="A56" s="3"/>
      <x:c r="B56" s="3"/>
      <x:c r="C56" s="3" t="str">
        <x:v>PV of 2027–2036 free cash flow</x:v>
      </x:c>
      <x:c r="D56" s="19" t="n">
        <x:f>SUM(E43:N43)</x:f>
        <x:v>336.925359124954</x:v>
      </x:c>
      <x:c r="E56" s="4"/>
      <x:c r="F56" s="4"/>
      <x:c r="G56" s="4"/>
      <x:c r="H56" s="4"/>
      <x:c r="I56" s="4"/>
      <x:c r="J56" s="4"/>
      <x:c r="K56" s="4"/>
      <x:c r="L56" s="4"/>
      <x:c r="M56" s="4"/>
      <x:c r="N56" s="4"/>
    </x:row>
    <x:row r="57" ht="21" customHeight="1">
      <x:c r="A57" s="3"/>
      <x:c r="B57" s="3"/>
      <x:c r="C57" s="61" t="str">
        <x:v>DCF enterprise value</x:v>
      </x:c>
      <x:c r="D57" s="71" t="n">
        <x:f>IF(ISNUMBER(D55),SUM(D55:D56),"n.a.")</x:f>
        <x:v>788.3047505219974</x:v>
      </x:c>
      <x:c r="E57" s="63"/>
      <x:c r="F57" s="63"/>
      <x:c r="G57" s="63"/>
      <x:c r="H57" s="63"/>
      <x:c r="I57" s="63"/>
      <x:c r="J57" s="63"/>
      <x:c r="K57" s="63"/>
      <x:c r="L57" s="63"/>
      <x:c r="M57" s="63"/>
      <x:c r="N57" s="63"/>
    </x:row>
    <x:row r="58" ht="21" customHeight="1">
      <x:c r="A58" s="3"/>
      <x:c r="B58" s="3"/>
      <x:c r="C58" s="61" t="str">
        <x:v>Illustrative DCF equity value</x:v>
      </x:c>
      <x:c r="D58" s="71" t="n">
        <x:f>IF(ISNUMBER(D57),D57+D24,"n.a.")</x:f>
        <x:v>788.3047505219974</x:v>
      </x:c>
      <x:c r="E58" s="63"/>
      <x:c r="F58" s="63"/>
      <x:c r="G58" s="63"/>
      <x:c r="H58" s="63"/>
      <x:c r="I58" s="63"/>
      <x:c r="J58" s="63"/>
      <x:c r="K58" s="63"/>
      <x:c r="L58" s="63"/>
      <x:c r="M58" s="63"/>
      <x:c r="N58" s="63"/>
    </x:row>
    <x:row r="59" ht="21" customHeight="1">
      <x:c r="A59" s="3"/>
      <x:c r="B59" s="3"/>
      <x:c r="C59" s="21" t="str">
        <x:v>Terminal value / enterprise value</x:v>
      </x:c>
      <x:c r="D59" s="87" t="n">
        <x:f>IF(ISNUMBER(D57),D55/D57,"n.a.")</x:f>
        <x:v>0.5725950415726282</x:v>
      </x:c>
      <x:c r="E59" s="4"/>
      <x:c r="F59" s="26" t="str">
        <x:v>Terminal-year investment ratios and margins equal 2036 assumptions.</x:v>
      </x:c>
      <x:c r="G59" s="4"/>
      <x:c r="H59" s="4"/>
      <x:c r="I59" s="4"/>
      <x:c r="J59" s="4"/>
      <x:c r="K59" s="4"/>
      <x:c r="L59" s="4"/>
      <x:c r="M59" s="4"/>
      <x:c r="N59" s="4"/>
    </x:row>
    <x:row r="60" ht="21" customHeight="1">
      <x:c r="A60" s="3"/>
      <x:c r="B60" s="3"/>
      <x:c r="C60" s="3" t="str">
        <x:v>Terminal FCF needed for benchmark</x:v>
      </x:c>
      <x:c r="D60" s="68" t="n">
        <x:f>IF('Inputs'!D11&gt;'Inputs'!D13,(D10-D24-D56)/N42*('Inputs'!D11-'Inputs'!D13),"n.a.")</x:f>
        <x:v>464.87316543340097</x:v>
      </x:c>
      <x:c r="E60" s="4"/>
      <x:c r="F60" s="26" t="str">
        <x:v>Holds the explicit forecast, investment ratios and discount rate constant.</x:v>
      </x:c>
      <x:c r="G60" s="4"/>
      <x:c r="H60" s="4"/>
      <x:c r="I60" s="4"/>
      <x:c r="J60" s="4"/>
      <x:c r="K60" s="4"/>
      <x:c r="L60" s="4"/>
      <x:c r="M60" s="4"/>
      <x:c r="N60" s="4"/>
    </x:row>
    <x:row r="61" ht="21" customHeight="1">
      <x:c r="A61" s="3"/>
      <x:c r="B61" s="3"/>
      <x:c r="C61" s="21" t="str">
        <x:v>Terminal EBIT margin needed</x:v>
      </x:c>
      <x:c r="D61" s="78" t="n">
        <x:f>IF(ISNUMBER(D60),(D60-SUM(D50:D52))/D46/(1-'Inputs'!D14),"n.a.")</x:f>
        <x:v>1.108502798356034</x:v>
      </x:c>
      <x:c r="E61" s="4"/>
      <x:c r="F61" s="26" t="str">
        <x:v>Required perpetual EBIT margin to support the benchmark equity target.</x:v>
      </x:c>
      <x:c r="G61" s="4"/>
      <x:c r="H61" s="4"/>
      <x:c r="I61" s="4"/>
      <x:c r="J61" s="4"/>
      <x:c r="K61" s="4"/>
      <x:c r="L61" s="4"/>
      <x:c r="M61" s="4"/>
      <x:c r="N61" s="4"/>
    </x:row>
    <x:row r="62" ht="21" customHeight="1">
      <x:c r="A62" s="3"/>
      <x:c r="B62" s="3"/>
      <x:c r="C62" s="3"/>
      <x:c r="D62" s="5"/>
      <x:c r="E62" s="5"/>
      <x:c r="F62" s="5"/>
      <x:c r="G62" s="5"/>
      <x:c r="H62" s="5"/>
      <x:c r="I62" s="5"/>
      <x:c r="J62" s="5"/>
      <x:c r="K62" s="5"/>
      <x:c r="L62" s="5"/>
      <x:c r="M62" s="5"/>
      <x:c r="N62" s="5"/>
    </x:row>
    <x:row r="63" ht="21" customHeight="1">
      <x:c r="A63" s="3"/>
      <x:c r="B63" s="3"/>
      <x:c r="C63" s="9" t="str">
        <x:v>Growth, compute efficiency and future financing are the main valuation risks. Revenue multiples do not prove cash returns.</x:v>
      </x:c>
      <x:c r="D63" s="5"/>
      <x:c r="E63" s="5"/>
      <x:c r="F63" s="5"/>
      <x:c r="G63" s="5"/>
      <x:c r="H63" s="5"/>
      <x:c r="I63" s="5"/>
      <x:c r="J63" s="5"/>
      <x:c r="K63" s="5"/>
      <x:c r="L63" s="5"/>
      <x:c r="M63" s="5"/>
      <x:c r="N63" s="5"/>
    </x:row>
    <x:row r="64" ht="21" customHeight="1">
      <x:c r="A64" s="3"/>
      <x:c r="B64" s="3"/>
      <x:c r="C64" s="3"/>
      <x:c r="D64" s="5"/>
      <x:c r="E64" s="5"/>
      <x:c r="F64" s="5"/>
      <x:c r="G64" s="5"/>
      <x:c r="H64" s="5"/>
      <x:c r="I64" s="5"/>
      <x:c r="J64" s="5"/>
      <x:c r="K64" s="5"/>
      <x:c r="L64" s="5"/>
      <x:c r="M64" s="5"/>
      <x:c r="N64" s="5"/>
    </x:row>
    <x:row r="65" ht="23" customHeight="1">
      <x:c r="A65" s="3"/>
      <x:c r="B65" s="3"/>
      <x:c r="C65" s="12" t="str">
        <x:v>Enterprise value sensitivity ($bn)</x:v>
      </x:c>
      <x:c r="D65" s="13"/>
      <x:c r="E65" s="13"/>
      <x:c r="F65" s="13"/>
      <x:c r="G65" s="13"/>
      <x:c r="H65" s="13"/>
      <x:c r="I65" s="13"/>
      <x:c r="J65" s="13"/>
      <x:c r="K65" s="13"/>
      <x:c r="L65" s="13"/>
      <x:c r="M65" s="13"/>
      <x:c r="N65" s="13"/>
    </x:row>
    <x:row r="66" ht="21" customHeight="1">
      <x:c r="A66" s="3"/>
      <x:c r="B66" s="3"/>
      <x:c r="C66" s="32" t="str">
        <x:v>2028 revenue / EV multiple</x:v>
      </x:c>
      <x:c r="D66" s="91" t="n">
        <x:v>6</x:v>
      </x:c>
      <x:c r="E66" s="91" t="n">
        <x:v>8</x:v>
      </x:c>
      <x:c r="F66" s="91" t="n">
        <x:v>10</x:v>
      </x:c>
      <x:c r="G66" s="91" t="n">
        <x:v>12</x:v>
      </x:c>
      <x:c r="H66" s="91" t="n">
        <x:v>14</x:v>
      </x:c>
      <x:c r="I66" s="91" t="n">
        <x:v>16</x:v>
      </x:c>
      <x:c r="J66" s="5"/>
      <x:c r="K66" s="5"/>
      <x:c r="L66" s="5"/>
      <x:c r="M66" s="5"/>
      <x:c r="N66" s="5"/>
    </x:row>
    <x:row r="67" ht="21" customHeight="1">
      <x:c r="A67" s="3"/>
      <x:c r="B67" s="3"/>
      <x:c r="C67" s="99" t="n">
        <x:v>120</x:v>
      </x:c>
      <x:c r="D67" s="19" t="n">
        <x:f>$C67*D$66</x:f>
        <x:v>720</x:v>
      </x:c>
      <x:c r="E67" s="19" t="n">
        <x:f>$C67*E$66</x:f>
        <x:v>960</x:v>
      </x:c>
      <x:c r="F67" s="19" t="n">
        <x:f>$C67*F$66</x:f>
        <x:v>1200</x:v>
      </x:c>
      <x:c r="G67" s="19" t="n">
        <x:f>$C67*G$66</x:f>
        <x:v>1440</x:v>
      </x:c>
      <x:c r="H67" s="19" t="n">
        <x:f>$C67*H$66</x:f>
        <x:v>1680</x:v>
      </x:c>
      <x:c r="I67" s="19" t="n">
        <x:f>$C67*I$66</x:f>
        <x:v>1920</x:v>
      </x:c>
      <x:c r="J67" s="5"/>
      <x:c r="K67" s="5"/>
      <x:c r="L67" s="5"/>
      <x:c r="M67" s="5"/>
      <x:c r="N67" s="5"/>
    </x:row>
    <x:row r="68" ht="21" customHeight="1">
      <x:c r="A68" s="3"/>
      <x:c r="B68" s="3"/>
      <x:c r="C68" s="99" t="n">
        <x:v>160</x:v>
      </x:c>
      <x:c r="D68" s="19" t="n">
        <x:f>$C68*D$66</x:f>
        <x:v>960</x:v>
      </x:c>
      <x:c r="E68" s="19" t="n">
        <x:f>$C68*E$66</x:f>
        <x:v>1280</x:v>
      </x:c>
      <x:c r="F68" s="19" t="n">
        <x:f>$C68*F$66</x:f>
        <x:v>1600</x:v>
      </x:c>
      <x:c r="G68" s="19" t="n">
        <x:f>$C68*G$66</x:f>
        <x:v>1920</x:v>
      </x:c>
      <x:c r="H68" s="19" t="n">
        <x:f>$C68*H$66</x:f>
        <x:v>2240</x:v>
      </x:c>
      <x:c r="I68" s="19" t="n">
        <x:f>$C68*I$66</x:f>
        <x:v>2560</x:v>
      </x:c>
      <x:c r="J68" s="5"/>
      <x:c r="K68" s="5"/>
      <x:c r="L68" s="5"/>
      <x:c r="M68" s="5"/>
      <x:c r="N68" s="5"/>
    </x:row>
    <x:row r="69" ht="21" customHeight="1">
      <x:c r="A69" s="3"/>
      <x:c r="B69" s="3"/>
      <x:c r="C69" s="100" t="n">
        <x:f>D21</x:f>
        <x:v>195</x:v>
      </x:c>
      <x:c r="D69" s="19" t="n">
        <x:f>$C69*D$66</x:f>
        <x:v>1170</x:v>
      </x:c>
      <x:c r="E69" s="19" t="n">
        <x:f>$C69*E$66</x:f>
        <x:v>1560</x:v>
      </x:c>
      <x:c r="F69" s="19" t="n">
        <x:f>$C69*F$66</x:f>
        <x:v>1950</x:v>
      </x:c>
      <x:c r="G69" s="19" t="n">
        <x:f>$C69*G$66</x:f>
        <x:v>2340</x:v>
      </x:c>
      <x:c r="H69" s="19" t="n">
        <x:f>$C69*H$66</x:f>
        <x:v>2730</x:v>
      </x:c>
      <x:c r="I69" s="19" t="n">
        <x:f>$C69*I$66</x:f>
        <x:v>3120</x:v>
      </x:c>
      <x:c r="J69" s="5"/>
      <x:c r="K69" s="5"/>
      <x:c r="L69" s="5"/>
      <x:c r="M69" s="5"/>
      <x:c r="N69" s="5"/>
    </x:row>
    <x:row r="70" ht="21" customHeight="1">
      <x:c r="A70" s="3"/>
      <x:c r="B70" s="3"/>
      <x:c r="C70" s="99" t="n">
        <x:v>240</x:v>
      </x:c>
      <x:c r="D70" s="19" t="n">
        <x:f>$C70*D$66</x:f>
        <x:v>1440</x:v>
      </x:c>
      <x:c r="E70" s="19" t="n">
        <x:f>$C70*E$66</x:f>
        <x:v>1920</x:v>
      </x:c>
      <x:c r="F70" s="19" t="n">
        <x:f>$C70*F$66</x:f>
        <x:v>2400</x:v>
      </x:c>
      <x:c r="G70" s="19" t="n">
        <x:f>$C70*G$66</x:f>
        <x:v>2880</x:v>
      </x:c>
      <x:c r="H70" s="19" t="n">
        <x:f>$C70*H$66</x:f>
        <x:v>3360</x:v>
      </x:c>
      <x:c r="I70" s="19" t="n">
        <x:f>$C70*I$66</x:f>
        <x:v>3840</x:v>
      </x:c>
      <x:c r="J70" s="5"/>
      <x:c r="K70" s="5"/>
      <x:c r="L70" s="5"/>
      <x:c r="M70" s="5"/>
      <x:c r="N70" s="5"/>
    </x:row>
    <x:row r="71" ht="21" customHeight="1">
      <x:c r="A71" s="3"/>
      <x:c r="B71" s="3"/>
      <x:c r="C71" s="99" t="n">
        <x:v>280</x:v>
      </x:c>
      <x:c r="D71" s="19" t="n">
        <x:f>$C71*D$66</x:f>
        <x:v>1680</x:v>
      </x:c>
      <x:c r="E71" s="19" t="n">
        <x:f>$C71*E$66</x:f>
        <x:v>2240</x:v>
      </x:c>
      <x:c r="F71" s="19" t="n">
        <x:f>$C71*F$66</x:f>
        <x:v>2800</x:v>
      </x:c>
      <x:c r="G71" s="19" t="n">
        <x:f>$C71*G$66</x:f>
        <x:v>3360</x:v>
      </x:c>
      <x:c r="H71" s="19" t="n">
        <x:f>$C71*H$66</x:f>
        <x:v>3920</x:v>
      </x:c>
      <x:c r="I71" s="19" t="n">
        <x:f>$C71*I$66</x:f>
        <x:v>4480</x:v>
      </x:c>
      <x:c r="J71" s="5"/>
      <x:c r="K71" s="5"/>
      <x:c r="L71" s="5"/>
      <x:c r="M71" s="5"/>
      <x:c r="N71" s="5"/>
    </x:row>
    <x:row r="72" ht="21" customHeight="1">
      <x:c r="A72" s="3"/>
      <x:c r="B72" s="3"/>
      <x:c r="C72" s="3"/>
      <x:c r="D72" s="5"/>
      <x:c r="E72" s="5"/>
      <x:c r="F72" s="5"/>
      <x:c r="G72" s="5"/>
      <x:c r="H72" s="5"/>
      <x:c r="I72" s="5"/>
      <x:c r="J72" s="5"/>
      <x:c r="K72" s="5"/>
      <x:c r="L72" s="5"/>
      <x:c r="M72" s="5"/>
      <x:c r="N72" s="5"/>
    </x:row>
    <x:row r="73" ht="21" customHeight="1">
      <x:c r="A73" s="3"/>
      <x:c r="B73" s="3"/>
      <x:c r="C73" s="9" t="str">
        <x:v>Each cell is revenue × multiple. Middle revenue row follows the model. Column multiples are illustrative assumptions.</x:v>
      </x:c>
      <x:c r="D73" s="5"/>
      <x:c r="E73" s="5"/>
      <x:c r="F73" s="5"/>
      <x:c r="G73" s="5"/>
      <x:c r="H73" s="5"/>
      <x:c r="I73" s="5"/>
      <x:c r="J73" s="5"/>
      <x:c r="K73" s="5"/>
      <x:c r="L73" s="5"/>
      <x:c r="M73" s="5"/>
      <x:c r="N73" s="5"/>
    </x:row>
    <x:row r="74" ht="21" customHeight="1">
      <x:c r="A74" s="3"/>
      <x:c r="B74" s="3"/>
      <x:c r="C74" s="3"/>
      <x:c r="D74" s="5"/>
      <x:c r="E74" s="5"/>
      <x:c r="F74" s="5"/>
      <x:c r="G74" s="5"/>
      <x:c r="H74" s="5"/>
      <x:c r="I74" s="5"/>
      <x:c r="J74" s="5"/>
      <x:c r="K74" s="5"/>
      <x:c r="L74" s="5"/>
      <x:c r="M74" s="5"/>
      <x:c r="N74" s="5"/>
    </x:row>
    <x:row r="75" ht="23" customHeight="1">
      <x:c r="A75" s="3"/>
      <x:c r="B75" s="3"/>
      <x:c r="C75" s="12" t="str">
        <x:v>IPO offering mechanics</x:v>
      </x:c>
      <x:c r="D75" s="13"/>
      <x:c r="E75" s="13"/>
      <x:c r="F75" s="13"/>
      <x:c r="G75" s="13"/>
      <x:c r="H75" s="13"/>
      <x:c r="I75" s="13"/>
      <x:c r="J75" s="13"/>
      <x:c r="K75" s="13"/>
      <x:c r="L75" s="13"/>
      <x:c r="M75" s="13"/>
      <x:c r="N75" s="13"/>
    </x:row>
    <x:row r="76" ht="21" customHeight="1">
      <x:c r="A76" s="3"/>
      <x:c r="B76" s="3"/>
      <x:c r="C76" s="3" t="str">
        <x:v>Pre-offer equity value</x:v>
      </x:c>
      <x:c r="D76" s="19" t="n">
        <x:f>D25</x:f>
        <x:v>1950</x:v>
      </x:c>
      <x:c r="E76" s="4"/>
      <x:c r="F76" s="4"/>
      <x:c r="G76" s="4"/>
      <x:c r="H76" s="4"/>
      <x:c r="I76" s="4"/>
      <x:c r="J76" s="4"/>
      <x:c r="K76" s="4"/>
      <x:c r="L76" s="4"/>
      <x:c r="M76" s="4"/>
      <x:c r="N76" s="4"/>
    </x:row>
    <x:row r="77" ht="21" customHeight="1">
      <x:c r="A77" s="3"/>
      <x:c r="B77" s="3"/>
      <x:c r="C77" s="3" t="str">
        <x:v>Gross primary proceeds</x:v>
      </x:c>
      <x:c r="D77" s="68" t="str">
        <x:f>IF(ISNUMBER('Inputs'!D16),'Inputs'!D16,"n.a.")</x:f>
        <x:v>n.a.</x:v>
      </x:c>
      <x:c r="E77" s="4"/>
      <x:c r="F77" s="26" t="str">
        <x:v>Enter gross primary proceeds on Inputs. Secondary sales add no company cash.</x:v>
      </x:c>
      <x:c r="G77" s="4"/>
      <x:c r="H77" s="4"/>
      <x:c r="I77" s="4"/>
      <x:c r="J77" s="4"/>
      <x:c r="K77" s="4"/>
      <x:c r="L77" s="4"/>
      <x:c r="M77" s="4"/>
      <x:c r="N77" s="4"/>
    </x:row>
    <x:row r="78" ht="21" customHeight="1">
      <x:c r="A78" s="3"/>
      <x:c r="B78" s="3"/>
      <x:c r="C78" s="3" t="str">
        <x:v>Less: IPO fees</x:v>
      </x:c>
      <x:c r="D78" s="68" t="str">
        <x:f>IF(ISNUMBER(D77),-D77*'Inputs'!D17,"n.a.")</x:f>
        <x:v>n.a.</x:v>
      </x:c>
      <x:c r="E78" s="4"/>
      <x:c r="F78" s="4"/>
      <x:c r="G78" s="4"/>
      <x:c r="H78" s="4"/>
      <x:c r="I78" s="4"/>
      <x:c r="J78" s="4"/>
      <x:c r="K78" s="4"/>
      <x:c r="L78" s="4"/>
      <x:c r="M78" s="4"/>
      <x:c r="N78" s="4"/>
    </x:row>
    <x:row r="79" ht="21" customHeight="1">
      <x:c r="A79" s="3"/>
      <x:c r="B79" s="3"/>
      <x:c r="C79" s="3" t="str">
        <x:v>Net primary proceeds</x:v>
      </x:c>
      <x:c r="D79" s="19" t="str">
        <x:f>IF(ISNUMBER(D77),SUM(D77:D78),"n.a.")</x:f>
        <x:v>n.a.</x:v>
      </x:c>
      <x:c r="E79" s="4"/>
      <x:c r="F79" s="4"/>
      <x:c r="G79" s="4"/>
      <x:c r="H79" s="4"/>
      <x:c r="I79" s="4"/>
      <x:c r="J79" s="4"/>
      <x:c r="K79" s="4"/>
      <x:c r="L79" s="4"/>
      <x:c r="M79" s="4"/>
      <x:c r="N79" s="4"/>
    </x:row>
    <x:row r="80" ht="21" customHeight="1">
      <x:c r="A80" s="3"/>
      <x:c r="B80" s="3"/>
      <x:c r="C80" s="61" t="str">
        <x:v>Post-offer equity value</x:v>
      </x:c>
      <x:c r="D80" s="71" t="str">
        <x:f>IF(ISNUMBER(D79),D76+D79,"n.a.")</x:f>
        <x:v>n.a.</x:v>
      </x:c>
      <x:c r="E80" s="63"/>
      <x:c r="F80" s="63"/>
      <x:c r="G80" s="63"/>
      <x:c r="H80" s="63"/>
      <x:c r="I80" s="63"/>
      <x:c r="J80" s="63"/>
      <x:c r="K80" s="63"/>
      <x:c r="L80" s="63"/>
      <x:c r="M80" s="63"/>
      <x:c r="N80" s="63"/>
    </x:row>
    <x:row r="81" ht="21" customHeight="1">
      <x:c r="A81" s="3"/>
      <x:c r="B81" s="3"/>
      <x:c r="C81" s="3" t="str">
        <x:v>Existing diluted shares (billions)</x:v>
      </x:c>
      <x:c r="D81" s="101" t="str">
        <x:f>IF(ISNUMBER('Inputs'!D18),'Inputs'!D18,"n.a.")</x:f>
        <x:v>n.a.</x:v>
      </x:c>
      <x:c r="E81" s="4"/>
      <x:c r="F81" s="26" t="str">
        <x:v>Actual share count is unavailable. Enter fully converted pre-offer shares.</x:v>
      </x:c>
      <x:c r="G81" s="4"/>
      <x:c r="H81" s="4"/>
      <x:c r="I81" s="4"/>
      <x:c r="J81" s="4"/>
      <x:c r="K81" s="4"/>
      <x:c r="L81" s="4"/>
      <x:c r="M81" s="4"/>
      <x:c r="N81" s="4"/>
    </x:row>
    <x:row r="82" ht="21" customHeight="1">
      <x:c r="A82" s="3"/>
      <x:c r="B82" s="3"/>
      <x:c r="C82" s="3" t="str">
        <x:v>Implied offer price ($ / share)</x:v>
      </x:c>
      <x:c r="D82" s="103" t="str">
        <x:f>IF(ISNUMBER(D81),IF(D81&gt;0,D76/D81,"n.a."),"n.a.")</x:f>
        <x:v>n.a.</x:v>
      </x:c>
      <x:c r="E82" s="4"/>
      <x:c r="F82" s="26" t="str">
        <x:v>Pre-offer equity / existing shares. No placeholder share count is assumed.</x:v>
      </x:c>
      <x:c r="G82" s="4"/>
      <x:c r="H82" s="4"/>
      <x:c r="I82" s="4"/>
      <x:c r="J82" s="4"/>
      <x:c r="K82" s="4"/>
      <x:c r="L82" s="4"/>
      <x:c r="M82" s="4"/>
      <x:c r="N82" s="4"/>
    </x:row>
    <x:row r="83" ht="21" customHeight="1">
      <x:c r="A83" s="3"/>
      <x:c r="B83" s="3"/>
      <x:c r="C83" s="3" t="str">
        <x:v>New primary shares (billions)</x:v>
      </x:c>
      <x:c r="D83" s="102" t="str">
        <x:f>IF(ISNUMBER(D77),IF(ISNUMBER(D82),IF(D82&gt;0,D77/D82,"n.a."),"n.a."),"n.a.")</x:f>
        <x:v>n.a.</x:v>
      </x:c>
      <x:c r="E83" s="4"/>
      <x:c r="F83" s="4"/>
      <x:c r="G83" s="4"/>
      <x:c r="H83" s="4"/>
      <x:c r="I83" s="4"/>
      <x:c r="J83" s="4"/>
      <x:c r="K83" s="4"/>
      <x:c r="L83" s="4"/>
      <x:c r="M83" s="4"/>
      <x:c r="N83" s="4"/>
    </x:row>
    <x:row r="84" ht="21" customHeight="1">
      <x:c r="A84" s="3"/>
      <x:c r="B84" s="3"/>
      <x:c r="C84" s="61" t="str">
        <x:v>Total shares after IPO (billions)</x:v>
      </x:c>
      <x:c r="D84" s="106" t="str">
        <x:f>IF(ISNUMBER(D83),D81+D83,"n.a.")</x:f>
        <x:v>n.a.</x:v>
      </x:c>
      <x:c r="E84" s="63"/>
      <x:c r="F84" s="64" t="str">
        <x:v>Existing diluted shares + new shares sold.</x:v>
      </x:c>
      <x:c r="G84" s="63"/>
      <x:c r="H84" s="63"/>
      <x:c r="I84" s="63"/>
      <x:c r="J84" s="63"/>
      <x:c r="K84" s="63"/>
      <x:c r="L84" s="63"/>
      <x:c r="M84" s="63"/>
      <x:c r="N84" s="63"/>
    </x:row>
    <x:row r="85" ht="21" customHeight="1">
      <x:c r="A85" s="3"/>
      <x:c r="B85" s="3"/>
      <x:c r="C85" s="3"/>
      <x:c r="D85" s="5"/>
      <x:c r="E85" s="5"/>
      <x:c r="F85" s="5"/>
      <x:c r="G85" s="5"/>
      <x:c r="H85" s="5"/>
      <x:c r="I85" s="5"/>
      <x:c r="J85" s="5"/>
      <x:c r="K85" s="5"/>
      <x:c r="L85" s="5"/>
      <x:c r="M85" s="5"/>
      <x:c r="N85" s="5"/>
    </x:row>
    <x:row r="86" ht="21" customHeight="1">
      <x:c r="A86" s="3"/>
      <x:c r="B86" s="3"/>
      <x:c r="C86" s="9" t="str">
        <x:v>Equity = EV + net cash. Reported private-round equity values and EV multiples use different bases.</x:v>
      </x:c>
      <x:c r="D86" s="5"/>
      <x:c r="E86" s="5"/>
      <x:c r="F86" s="5"/>
      <x:c r="G86" s="5"/>
      <x:c r="H86" s="5"/>
      <x:c r="I86" s="5"/>
      <x:c r="J86" s="5"/>
      <x:c r="K86" s="5"/>
      <x:c r="L86" s="5"/>
      <x:c r="M86" s="5"/>
      <x:c r="N86" s="5"/>
    </x:row>
    <x:row r="87" ht="21" customHeight="1">
      <x:c r="A87" s="3"/>
      <x:c r="B87" s="3"/>
      <x:c r="C87" s="9" t="str">
        <x:v>The $965bn private mark is post-money from May. It is not an additional cash inflow in this valuation.</x:v>
      </x:c>
      <x:c r="D87" s="5"/>
      <x:c r="E87" s="5"/>
      <x:c r="F87" s="5"/>
      <x:c r="G87" s="5"/>
      <x:c r="H87" s="5"/>
      <x:c r="I87" s="5"/>
      <x:c r="J87" s="5"/>
      <x:c r="K87" s="5"/>
      <x:c r="L87" s="5"/>
      <x:c r="M87" s="5"/>
      <x:c r="N87" s="5"/>
    </x:row>
    <x:row r="88" ht="21" customHeight="1">
      <x:c r="A88" s="3"/>
      <x:c r="B88" s="3"/>
      <x:c r="C88" s="3"/>
      <x:c r="D88" s="5"/>
      <x:c r="E88" s="5"/>
      <x:c r="F88" s="5"/>
      <x:c r="G88" s="5"/>
      <x:c r="H88" s="5"/>
      <x:c r="I88" s="5"/>
      <x:c r="J88" s="5"/>
      <x:c r="K88" s="5"/>
      <x:c r="L88" s="5"/>
      <x:c r="M88" s="5"/>
      <x:c r="N88" s="5"/>
    </x:row>
    <x:row r="89" ht="21" customHeight="1">
      <x:c r="A89" s="3"/>
      <x:c r="B89" s="3"/>
      <x:c r="C89" s="3"/>
      <x:c r="D89" s="5"/>
      <x:c r="E89" s="5"/>
      <x:c r="F89" s="5"/>
      <x:c r="G89" s="5"/>
      <x:c r="H89" s="5"/>
      <x:c r="I89" s="5"/>
      <x:c r="J89" s="5"/>
      <x:c r="K89" s="5"/>
      <x:c r="L89" s="5"/>
      <x:c r="M89" s="5"/>
      <x:c r="N89" s="5"/>
    </x:row>
    <x:row r="90" ht="21" customHeight="1">
      <x:c r="A90" s="3"/>
      <x:c r="B90" s="3"/>
      <x:c r="C90" s="3"/>
      <x:c r="D90" s="5"/>
      <x:c r="E90" s="5"/>
      <x:c r="F90" s="5"/>
      <x:c r="G90" s="5"/>
      <x:c r="H90" s="5"/>
      <x:c r="I90" s="5"/>
      <x:c r="J90" s="5"/>
      <x:c r="K90" s="5"/>
      <x:c r="L90" s="5"/>
      <x:c r="M90" s="5"/>
      <x:c r="N90" s="5"/>
    </x:row>
    <x:row r="91" ht="21" customHeight="1">
      <x:c r="A91" s="3"/>
      <x:c r="B91" s="3"/>
      <x:c r="C91" s="3"/>
      <x:c r="D91" s="5"/>
      <x:c r="E91" s="5"/>
      <x:c r="F91" s="5"/>
      <x:c r="G91" s="5"/>
      <x:c r="H91" s="5"/>
      <x:c r="I91" s="5"/>
      <x:c r="J91" s="5"/>
      <x:c r="K91" s="5"/>
      <x:c r="L91" s="5"/>
      <x:c r="M91" s="5"/>
      <x:c r="N91" s="5"/>
    </x:row>
    <x:row r="92" ht="21" customHeight="1">
      <x:c r="A92" s="3"/>
      <x:c r="B92" s="3"/>
      <x:c r="C92" s="3"/>
      <x:c r="D92" s="5"/>
      <x:c r="E92" s="5"/>
      <x:c r="F92" s="5"/>
      <x:c r="G92" s="5"/>
      <x:c r="H92" s="5"/>
      <x:c r="I92" s="5"/>
      <x:c r="J92" s="5"/>
      <x:c r="K92" s="5"/>
      <x:c r="L92" s="5"/>
      <x:c r="M92" s="5"/>
      <x:c r="N92" s="5"/>
    </x:row>
    <x:row r="93" ht="21" customHeight="1">
      <x:c r="A93" s="3"/>
      <x:c r="B93" s="3"/>
      <x:c r="C93" s="3"/>
      <x:c r="D93" s="5"/>
      <x:c r="E93" s="5"/>
      <x:c r="F93" s="5"/>
      <x:c r="G93" s="5"/>
      <x:c r="H93" s="5"/>
      <x:c r="I93" s="5"/>
      <x:c r="J93" s="5"/>
      <x:c r="K93" s="5"/>
      <x:c r="L93" s="5"/>
      <x:c r="M93" s="5"/>
      <x:c r="N93" s="5"/>
    </x:row>
    <x:row r="94" ht="21" customHeight="1">
      <x:c r="A94" s="3"/>
      <x:c r="B94" s="3"/>
      <x:c r="C94" s="3"/>
      <x:c r="D94" s="5"/>
      <x:c r="E94" s="5"/>
      <x:c r="F94" s="5"/>
      <x:c r="G94" s="5"/>
      <x:c r="H94" s="5"/>
      <x:c r="I94" s="5"/>
      <x:c r="J94" s="5"/>
      <x:c r="K94" s="5"/>
      <x:c r="L94" s="5"/>
      <x:c r="M94" s="5"/>
      <x:c r="N94" s="5"/>
    </x:row>
    <x:row r="95" ht="21" customHeight="1">
      <x:c r="A95" s="3"/>
      <x:c r="B95" s="3"/>
      <x:c r="C95" s="3"/>
      <x:c r="D95" s="5"/>
      <x:c r="E95" s="5"/>
      <x:c r="F95" s="5"/>
      <x:c r="G95" s="5"/>
      <x:c r="H95" s="5"/>
      <x:c r="I95" s="5"/>
      <x:c r="J95" s="5"/>
      <x:c r="K95" s="5"/>
      <x:c r="L95" s="5"/>
      <x:c r="M95" s="5"/>
      <x:c r="N95" s="5"/>
    </x:row>
    <x:row r="96" ht="21" customHeight="1">
      <x:c r="A96" s="3"/>
      <x:c r="B96" s="3"/>
      <x:c r="C96" s="3"/>
      <x:c r="D96" s="5"/>
      <x:c r="E96" s="5"/>
      <x:c r="F96" s="5"/>
      <x:c r="G96" s="5"/>
      <x:c r="H96" s="5"/>
      <x:c r="I96" s="5"/>
      <x:c r="J96" s="5"/>
      <x:c r="K96" s="5"/>
      <x:c r="L96" s="5"/>
      <x:c r="M96" s="5"/>
      <x:c r="N96" s="5"/>
    </x:row>
    <x:row r="97" ht="21" customHeight="1">
      <x:c r="A97" s="3"/>
      <x:c r="B97" s="3"/>
      <x:c r="C97" s="3"/>
      <x:c r="D97" s="5"/>
      <x:c r="E97" s="5"/>
      <x:c r="F97" s="5"/>
      <x:c r="G97" s="5"/>
      <x:c r="H97" s="5"/>
      <x:c r="I97" s="5"/>
      <x:c r="J97" s="5"/>
      <x:c r="K97" s="5"/>
      <x:c r="L97" s="5"/>
      <x:c r="M97" s="5"/>
      <x:c r="N97" s="5"/>
    </x:row>
    <x:row r="98" ht="21" customHeight="1">
      <x:c r="A98" s="3"/>
      <x:c r="B98" s="3"/>
      <x:c r="C98" s="3"/>
      <x:c r="D98" s="5"/>
      <x:c r="E98" s="5"/>
      <x:c r="F98" s="5"/>
      <x:c r="G98" s="5"/>
      <x:c r="H98" s="5"/>
      <x:c r="I98" s="5"/>
      <x:c r="J98" s="5"/>
      <x:c r="K98" s="5"/>
      <x:c r="L98" s="5"/>
      <x:c r="M98" s="5"/>
      <x:c r="N98" s="5"/>
    </x:row>
    <x:row r="99" ht="21" customHeight="1">
      <x:c r="A99" s="3"/>
      <x:c r="B99" s="3"/>
      <x:c r="C99" s="3"/>
      <x:c r="D99" s="5"/>
      <x:c r="E99" s="5"/>
      <x:c r="F99" s="5"/>
      <x:c r="G99" s="5"/>
      <x:c r="H99" s="5"/>
      <x:c r="I99" s="5"/>
      <x:c r="J99" s="5"/>
      <x:c r="K99" s="5"/>
      <x:c r="L99" s="5"/>
      <x:c r="M99" s="5"/>
      <x:c r="N99" s="5"/>
    </x:row>
    <x:row r="100" ht="21" customHeight="1">
      <x:c r="A100" s="3"/>
      <x:c r="B100" s="3"/>
      <x:c r="C100" s="3"/>
      <x:c r="D100" s="5"/>
      <x:c r="E100" s="5"/>
      <x:c r="F100" s="5"/>
      <x:c r="G100" s="5"/>
      <x:c r="H100" s="5"/>
      <x:c r="I100" s="5"/>
      <x:c r="J100" s="5"/>
      <x:c r="K100" s="5"/>
      <x:c r="L100" s="5"/>
      <x:c r="M100" s="5"/>
      <x:c r="N100" s="5"/>
    </x:row>
  </x:sheetData>
  <x:conditionalFormatting sqref="D67:I71">
    <x:cfRule type="colorScale" priority="1">
      <x:colorScale>
        <x:cfvo type="min"/>
        <x:cfvo type="percentile" val="50"/>
        <x:cfvo type="max"/>
        <x:color rgb="FFF3E1D3"/>
        <x:color rgb="FFF5F6F7"/>
        <x:color rgb="FF9FB2C5"/>
      </x:colorScale>
    </x:cfRule>
  </x:conditionalFormatting>
  <x:pageMargins left="0.7" right="0.7" top="0.75" bottom="0.75" header="0.3" footer="0.3"/>
  <x:drawing xmlns:r="http://schemas.openxmlformats.org/officeDocument/2006/relationships" r:id="R8ebcc4140f0f416d"/>
</x:worksheet>
</file>

<file path=xl/worksheets/sheet2.xml><?xml version="1.0" encoding="utf-8"?>
<x:worksheet xmlns:x="http://schemas.openxmlformats.org/spreadsheetml/2006/main">
  <x:sheetPr>
    <x:tabColor rgb="FF6F8194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.200000047683716" hidden="0" customWidth="1"/>
    <x:col min="2" max="2" width="2.200000047683716" hidden="0" customWidth="1"/>
    <x:col min="3" max="3" width="39" hidden="0" customWidth="1"/>
    <x:col min="4" max="4" width="13" hidden="0" customWidth="1"/>
    <x:col min="5" max="5" width="13" hidden="0" customWidth="1"/>
    <x:col min="6" max="6" width="19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1" customHeight="1">
      <x:c r="A1" s="3"/>
      <x:c r="B1" s="3"/>
      <x:c r="C1" s="3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0" customHeight="1">
      <x:c r="A2" s="3"/>
      <x:c r="B2" s="3"/>
      <x:c r="C2" s="6" t="str">
        <x:v>Inputs and public information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 ht="21" customHeight="1">
      <x:c r="A3" s="3"/>
      <x:c r="B3" s="3"/>
      <x:c r="C3" s="9" t="str">
        <x:v>Blue cells are editable assumptions. Green cells link to published inputs. Blank offering inputs mean unavailable.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</x:row>
    <x:row r="4" ht="21" customHeight="1">
      <x:c r="A4" s="3"/>
      <x:c r="B4" s="3"/>
      <x:c r="C4" s="7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</x:row>
    <x:row r="5" ht="21" customHeight="1">
      <x:c r="A5" s="3"/>
      <x:c r="B5" s="3"/>
      <x:c r="C5" s="3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</x:row>
    <x:row r="6" ht="23" customHeight="1">
      <x:c r="A6" s="3"/>
      <x:c r="B6" s="3"/>
      <x:c r="C6" s="12" t="str">
        <x:v>Valuation assumptions</x:v>
      </x:c>
      <x:c r="D6" s="13"/>
      <x:c r="E6" s="13"/>
      <x:c r="F6" s="13"/>
      <x:c r="G6" s="13"/>
      <x:c r="H6" s="13"/>
      <x:c r="I6" s="13"/>
      <x:c r="J6" s="13"/>
      <x:c r="K6" s="13"/>
      <x:c r="L6" s="13"/>
      <x:c r="M6" s="13"/>
      <x:c r="N6" s="13"/>
    </x:row>
    <x:row r="7" ht="21" customHeight="1">
      <x:c r="A7" s="3"/>
      <x:c r="B7" s="3"/>
      <x:c r="C7" s="3" t="str">
        <x:v>Assumed valuation date</x:v>
      </x:c>
      <x:c r="D7" s="16" t="n">
        <x:v>46387</x:v>
      </x:c>
      <x:c r="E7" s="4"/>
      <x:c r="F7" s="26" t="str">
        <x:v>Assumed year-end IPO date. DCF uses end-of-year cash flows from 2027 onward.</x:v>
      </x:c>
      <x:c r="G7" s="4"/>
      <x:c r="H7" s="4"/>
      <x:c r="I7" s="4"/>
      <x:c r="J7" s="4"/>
      <x:c r="K7" s="4"/>
      <x:c r="L7" s="4"/>
      <x:c r="M7" s="4"/>
      <x:c r="N7" s="4"/>
    </x:row>
    <x:row r="8" ht="21" customHeight="1">
      <x:c r="A8" s="3"/>
      <x:c r="B8" s="3"/>
      <x:c r="C8" s="3" t="str">
        <x:v>Research cutoff</x:v>
      </x:c>
      <x:c r="D8" s="17" t="n">
        <x:v>46295</x:v>
      </x:c>
      <x:c r="E8" s="4"/>
      <x:c r="F8" s="26" t="str">
        <x:v>Information retrieved on this date. IPO timing and terms remain unconfirmed.</x:v>
      </x:c>
      <x:c r="G8" s="4"/>
      <x:c r="H8" s="4"/>
      <x:c r="I8" s="4"/>
      <x:c r="J8" s="4"/>
      <x:c r="K8" s="4"/>
      <x:c r="L8" s="4"/>
      <x:c r="M8" s="4"/>
      <x:c r="N8" s="4"/>
    </x:row>
    <x:row r="9" ht="21" customHeight="1">
      <x:c r="A9" s="3"/>
      <x:c r="B9" s="3"/>
      <x:c r="C9" s="3" t="str">
        <x:v>2028 revenue anchor</x:v>
      </x:c>
      <x:c r="D9" s="19" t="n">
        <x:f>AVERAGE(D42:D43)</x:f>
        <x:v>195</x:v>
      </x:c>
      <x:c r="E9" s="4"/>
      <x:c r="F9" s="26" t="str">
        <x:v>Midpoint of the reported $190–200bn 2028 company projection [S2].</x:v>
      </x:c>
      <x:c r="G9" s="4"/>
      <x:c r="H9" s="4"/>
      <x:c r="I9" s="4"/>
      <x:c r="J9" s="4"/>
      <x:c r="K9" s="4"/>
      <x:c r="L9" s="4"/>
      <x:c r="M9" s="4"/>
      <x:c r="N9" s="4"/>
    </x:row>
    <x:row r="10" ht="21" customHeight="1">
      <x:c r="A10" s="3"/>
      <x:c r="B10" s="3"/>
      <x:c r="C10" s="3" t="str">
        <x:v>EV / 2028 revenue</x:v>
      </x:c>
      <x:c r="D10" s="20" t="n">
        <x:v>10</x:v>
      </x:c>
      <x:c r="E10" s="4"/>
      <x:c r="F10" s="26" t="str">
        <x:v>Illustrative multiple, not a measured current peer median.</x:v>
      </x:c>
      <x:c r="G10" s="4"/>
      <x:c r="H10" s="4"/>
      <x:c r="I10" s="4"/>
      <x:c r="J10" s="4"/>
      <x:c r="K10" s="4"/>
      <x:c r="L10" s="4"/>
      <x:c r="M10" s="4"/>
      <x:c r="N10" s="4"/>
    </x:row>
    <x:row r="11" ht="21" customHeight="1">
      <x:c r="A11" s="3"/>
      <x:c r="B11" s="3"/>
      <x:c r="C11" s="21" t="str">
        <x:v>Discount rate (WACC)</x:v>
      </x:c>
      <x:c r="D11" s="23" t="n">
        <x:v>0.12</x:v>
      </x:c>
      <x:c r="E11" s="4"/>
      <x:c r="F11" s="26" t="str">
        <x:v>Analyst assumption for a risky growth business.</x:v>
      </x:c>
      <x:c r="G11" s="4"/>
      <x:c r="H11" s="4"/>
      <x:c r="I11" s="4"/>
      <x:c r="J11" s="4"/>
      <x:c r="K11" s="4"/>
      <x:c r="L11" s="4"/>
      <x:c r="M11" s="4"/>
      <x:c r="N11" s="4"/>
    </x:row>
    <x:row r="12" ht="21" customHeight="1">
      <x:c r="A12" s="3"/>
      <x:c r="B12" s="3"/>
      <x:c r="C12" s="3" t="str">
        <x:v>Pre-IPO net cash adjustment</x:v>
      </x:c>
      <x:c r="D12" s="15" t="n">
        <x:v>0</x:v>
      </x:c>
      <x:c r="E12" s="4"/>
      <x:c r="F12" s="26" t="str">
        <x:v>Assumed zero. Current cash, debt and conversion adjustments are unavailable.</x:v>
      </x:c>
      <x:c r="G12" s="4"/>
      <x:c r="H12" s="4"/>
      <x:c r="I12" s="4"/>
      <x:c r="J12" s="4"/>
      <x:c r="K12" s="4"/>
      <x:c r="L12" s="4"/>
      <x:c r="M12" s="4"/>
      <x:c r="N12" s="4"/>
    </x:row>
    <x:row r="13" ht="21" customHeight="1">
      <x:c r="A13" s="3"/>
      <x:c r="B13" s="3"/>
      <x:c r="C13" s="21" t="str">
        <x:v>Terminal revenue growth</x:v>
      </x:c>
      <x:c r="D13" s="23" t="n">
        <x:v>0.03</x:v>
      </x:c>
      <x:c r="E13" s="4"/>
      <x:c r="F13" s="26" t="str">
        <x:v>Perpetual growth after 2036. Must be below WACC.</x:v>
      </x:c>
      <x:c r="G13" s="4"/>
      <x:c r="H13" s="4"/>
      <x:c r="I13" s="4"/>
      <x:c r="J13" s="4"/>
      <x:c r="K13" s="4"/>
      <x:c r="L13" s="4"/>
      <x:c r="M13" s="4"/>
      <x:c r="N13" s="4"/>
    </x:row>
    <x:row r="14" ht="21" customHeight="1">
      <x:c r="A14" s="3"/>
      <x:c r="B14" s="3"/>
      <x:c r="C14" s="21" t="str">
        <x:v>Cash tax rate</x:v>
      </x:c>
      <x:c r="D14" s="23" t="n">
        <x:v>0.25</x:v>
      </x:c>
      <x:c r="E14" s="4"/>
      <x:c r="F14" s="26" t="str">
        <x:v>Assumes cash taxes on positive EBIT. No tax-loss carryforwards modeled.</x:v>
      </x:c>
      <x:c r="G14" s="4"/>
      <x:c r="H14" s="4"/>
      <x:c r="I14" s="4"/>
      <x:c r="J14" s="4"/>
      <x:c r="K14" s="4"/>
      <x:c r="L14" s="4"/>
      <x:c r="M14" s="4"/>
      <x:c r="N14" s="4"/>
    </x:row>
    <x:row r="15" ht="21" customHeight="1">
      <x:c r="A15" s="3"/>
      <x:c r="B15" s="3"/>
      <x:c r="C15" s="3" t="str">
        <x:v>Reported IPO equity benchmark</x:v>
      </x:c>
      <x:c r="D15" s="18" t="n">
        <x:f>D44</x:f>
        <x:v>2000</x:v>
      </x:c>
      <x:c r="E15" s="4"/>
      <x:c r="F15" s="26" t="str">
        <x:v>$2tn reference from September reporting [S3]. Not a priced offer.</x:v>
      </x:c>
      <x:c r="G15" s="4"/>
      <x:c r="H15" s="4"/>
      <x:c r="I15" s="4"/>
      <x:c r="J15" s="4"/>
      <x:c r="K15" s="4"/>
      <x:c r="L15" s="4"/>
      <x:c r="M15" s="4"/>
      <x:c r="N15" s="4"/>
    </x:row>
    <x:row r="16" ht="21" customHeight="1">
      <x:c r="A16" s="3"/>
      <x:c r="B16" s="3"/>
      <x:c r="C16" s="3" t="str">
        <x:v>Gross primary IPO proceeds</x:v>
      </x:c>
      <x:c r="D16" s="15"/>
      <x:c r="E16" s="4"/>
      <x:c r="F16" s="26" t="str">
        <x:v>Enter primary capital raised. Exclude sales by existing holders.</x:v>
      </x:c>
      <x:c r="G16" s="4"/>
      <x:c r="H16" s="4"/>
      <x:c r="I16" s="4"/>
      <x:c r="J16" s="4"/>
      <x:c r="K16" s="4"/>
      <x:c r="L16" s="4"/>
      <x:c r="M16" s="4"/>
      <x:c r="N16" s="4"/>
    </x:row>
    <x:row r="17" ht="21" customHeight="1">
      <x:c r="A17" s="3"/>
      <x:c r="B17" s="3"/>
      <x:c r="C17" s="21" t="str">
        <x:v>IPO fees / gross proceeds</x:v>
      </x:c>
      <x:c r="D17" s="23" t="n">
        <x:v>0.03</x:v>
      </x:c>
      <x:c r="E17" s="4"/>
      <x:c r="F17" s="26" t="str">
        <x:v>Illustrative fee rate. Actual underwriting terms are unavailable.</x:v>
      </x:c>
      <x:c r="G17" s="4"/>
      <x:c r="H17" s="4"/>
      <x:c r="I17" s="4"/>
      <x:c r="J17" s="4"/>
      <x:c r="K17" s="4"/>
      <x:c r="L17" s="4"/>
      <x:c r="M17" s="4"/>
      <x:c r="N17" s="4"/>
    </x:row>
    <x:row r="18" ht="21" customHeight="1">
      <x:c r="A18" s="3"/>
      <x:c r="B18" s="3"/>
      <x:c r="C18" s="3" t="str">
        <x:v>Existing diluted shares (billions)</x:v>
      </x:c>
      <x:c r="D18" s="24"/>
      <x:c r="E18" s="4"/>
      <x:c r="F18" s="26" t="str">
        <x:v>Enter shares after all pre-IPO conversions. Actual count is unavailable.</x:v>
      </x:c>
      <x:c r="G18" s="4"/>
      <x:c r="H18" s="4"/>
      <x:c r="I18" s="4"/>
      <x:c r="J18" s="4"/>
      <x:c r="K18" s="4"/>
      <x:c r="L18" s="4"/>
      <x:c r="M18" s="4"/>
      <x:c r="N18" s="4"/>
    </x:row>
    <x:row r="19" ht="21" customHeight="1">
      <x:c r="A19" s="3"/>
      <x:c r="B19" s="3"/>
      <x:c r="C19" s="3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</x:row>
    <x:row r="20" ht="23" customHeight="1">
      <x:c r="A20" s="3"/>
      <x:c r="B20" s="3"/>
      <x:c r="C20" s="12" t="str">
        <x:v>Annual forecast assumptions</x:v>
      </x:c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</x:row>
    <x:row r="21" ht="21" customHeight="1">
      <x:c r="A21" s="3"/>
      <x:c r="B21" s="3"/>
      <x:c r="C21" s="32" t="str">
        <x:v>Calendar year</x:v>
      </x:c>
      <x:c r="D21" s="33" t="n">
        <x:v>2026</x:v>
      </x:c>
      <x:c r="E21" s="33" t="n">
        <x:v>2027</x:v>
      </x:c>
      <x:c r="F21" s="33" t="n">
        <x:v>2028</x:v>
      </x:c>
      <x:c r="G21" s="33" t="n">
        <x:v>2029</x:v>
      </x:c>
      <x:c r="H21" s="33" t="n">
        <x:v>2030</x:v>
      </x:c>
      <x:c r="I21" s="33" t="n">
        <x:v>2031</x:v>
      </x:c>
      <x:c r="J21" s="33" t="n">
        <x:v>2032</x:v>
      </x:c>
      <x:c r="K21" s="33" t="n">
        <x:v>2033</x:v>
      </x:c>
      <x:c r="L21" s="33" t="n">
        <x:v>2034</x:v>
      </x:c>
      <x:c r="M21" s="33" t="n">
        <x:v>2035</x:v>
      </x:c>
      <x:c r="N21" s="33" t="n">
        <x:v>2036</x:v>
      </x:c>
    </x:row>
    <x:row r="22" ht="21" customHeight="1">
      <x:c r="A22" s="3"/>
      <x:c r="B22" s="3"/>
      <x:c r="C22" s="3" t="str">
        <x:v>2026 full-year revenue estimate</x:v>
      </x:c>
      <x:c r="D22" s="34" t="n">
        <x:v>60</x:v>
      </x:c>
      <x:c r="E22" s="5"/>
      <x:c r="F22" s="5"/>
      <x:c r="G22" s="5"/>
      <x:c r="H22" s="5"/>
      <x:c r="I22" s="5"/>
      <x:c r="J22" s="5"/>
      <x:c r="K22" s="5"/>
      <x:c r="L22" s="5"/>
      <x:c r="M22" s="5"/>
      <x:c r="N22" s="5"/>
    </x:row>
    <x:row r="23" ht="21" customHeight="1">
      <x:c r="A23" s="3"/>
      <x:c r="B23" s="3"/>
      <x:c r="C23" s="21" t="str">
        <x:v>Revenue growth</x:v>
      </x:c>
      <x:c r="D23" s="38"/>
      <x:c r="E23" s="23" t="n">
        <x:v>1</x:v>
      </x:c>
      <x:c r="F23" s="39" t="n">
        <x:f>$D$9/($D$22*(1+E23))-1</x:f>
        <x:v>0.625</x:v>
      </x:c>
      <x:c r="G23" s="23" t="n">
        <x:v>0.35</x:v>
      </x:c>
      <x:c r="H23" s="23" t="n">
        <x:v>0.25</x:v>
      </x:c>
      <x:c r="I23" s="23" t="n">
        <x:v>0.2</x:v>
      </x:c>
      <x:c r="J23" s="23" t="n">
        <x:v>0.15</x:v>
      </x:c>
      <x:c r="K23" s="23" t="n">
        <x:v>0.1</x:v>
      </x:c>
      <x:c r="L23" s="23" t="n">
        <x:v>0.07</x:v>
      </x:c>
      <x:c r="M23" s="23" t="n">
        <x:v>0.05</x:v>
      </x:c>
      <x:c r="N23" s="23" t="n">
        <x:v>0.03</x:v>
      </x:c>
    </x:row>
    <x:row r="24" ht="21" customHeight="1">
      <x:c r="A24" s="3"/>
      <x:c r="B24" s="3"/>
      <x:c r="C24" s="21" t="str">
        <x:v>EBIT / revenue</x:v>
      </x:c>
      <x:c r="D24" s="38"/>
      <x:c r="E24" s="23" t="n">
        <x:v>0.1</x:v>
      </x:c>
      <x:c r="F24" s="23" t="n">
        <x:v>0.2</x:v>
      </x:c>
      <x:c r="G24" s="23" t="n">
        <x:v>0.25</x:v>
      </x:c>
      <x:c r="H24" s="23" t="n">
        <x:v>0.3</x:v>
      </x:c>
      <x:c r="I24" s="23" t="n">
        <x:v>0.32</x:v>
      </x:c>
      <x:c r="J24" s="23" t="n">
        <x:v>0.33</x:v>
      </x:c>
      <x:c r="K24" s="23" t="n">
        <x:v>0.34</x:v>
      </x:c>
      <x:c r="L24" s="23" t="n">
        <x:v>0.35</x:v>
      </x:c>
      <x:c r="M24" s="23" t="n">
        <x:v>0.35</x:v>
      </x:c>
      <x:c r="N24" s="23" t="n">
        <x:v>0.35</x:v>
      </x:c>
    </x:row>
    <x:row r="25" ht="21" customHeight="1">
      <x:c r="A25" s="3"/>
      <x:c r="B25" s="3"/>
      <x:c r="C25" s="21" t="str">
        <x:v>D&amp;A / revenue</x:v>
      </x:c>
      <x:c r="D25" s="38"/>
      <x:c r="E25" s="23" t="n">
        <x:v>0.03</x:v>
      </x:c>
      <x:c r="F25" s="23" t="n">
        <x:v>0.03</x:v>
      </x:c>
      <x:c r="G25" s="23" t="n">
        <x:v>0.03</x:v>
      </x:c>
      <x:c r="H25" s="23" t="n">
        <x:v>0.03</x:v>
      </x:c>
      <x:c r="I25" s="23" t="n">
        <x:v>0.03</x:v>
      </x:c>
      <x:c r="J25" s="23" t="n">
        <x:v>0.03</x:v>
      </x:c>
      <x:c r="K25" s="23" t="n">
        <x:v>0.03</x:v>
      </x:c>
      <x:c r="L25" s="23" t="n">
        <x:v>0.03</x:v>
      </x:c>
      <x:c r="M25" s="23" t="n">
        <x:v>0.03</x:v>
      </x:c>
      <x:c r="N25" s="23" t="n">
        <x:v>0.03</x:v>
      </x:c>
    </x:row>
    <x:row r="26" ht="21" customHeight="1">
      <x:c r="A26" s="3"/>
      <x:c r="B26" s="3"/>
      <x:c r="C26" s="21" t="str">
        <x:v>Cash capex / revenue</x:v>
      </x:c>
      <x:c r="D26" s="38"/>
      <x:c r="E26" s="23" t="n">
        <x:v>0.08</x:v>
      </x:c>
      <x:c r="F26" s="23" t="n">
        <x:v>0.08</x:v>
      </x:c>
      <x:c r="G26" s="23" t="n">
        <x:v>0.08</x:v>
      </x:c>
      <x:c r="H26" s="23" t="n">
        <x:v>0.08</x:v>
      </x:c>
      <x:c r="I26" s="23" t="n">
        <x:v>0.08</x:v>
      </x:c>
      <x:c r="J26" s="23" t="n">
        <x:v>0.08</x:v>
      </x:c>
      <x:c r="K26" s="23" t="n">
        <x:v>0.08</x:v>
      </x:c>
      <x:c r="L26" s="23" t="n">
        <x:v>0.08</x:v>
      </x:c>
      <x:c r="M26" s="23" t="n">
        <x:v>0.08</x:v>
      </x:c>
      <x:c r="N26" s="23" t="n">
        <x:v>0.08</x:v>
      </x:c>
    </x:row>
    <x:row r="27" ht="21" customHeight="1">
      <x:c r="A27" s="3"/>
      <x:c r="B27" s="3"/>
      <x:c r="C27" s="21" t="str">
        <x:v>Operating working capital / revenue</x:v>
      </x:c>
      <x:c r="D27" s="23" t="n">
        <x:v>0.02</x:v>
      </x:c>
      <x:c r="E27" s="23" t="n">
        <x:v>0.02</x:v>
      </x:c>
      <x:c r="F27" s="23" t="n">
        <x:v>0.02</x:v>
      </x:c>
      <x:c r="G27" s="23" t="n">
        <x:v>0.02</x:v>
      </x:c>
      <x:c r="H27" s="23" t="n">
        <x:v>0.02</x:v>
      </x:c>
      <x:c r="I27" s="23" t="n">
        <x:v>0.02</x:v>
      </x:c>
      <x:c r="J27" s="23" t="n">
        <x:v>0.02</x:v>
      </x:c>
      <x:c r="K27" s="23" t="n">
        <x:v>0.02</x:v>
      </x:c>
      <x:c r="L27" s="23" t="n">
        <x:v>0.02</x:v>
      </x:c>
      <x:c r="M27" s="23" t="n">
        <x:v>0.02</x:v>
      </x:c>
      <x:c r="N27" s="23" t="n">
        <x:v>0.02</x:v>
      </x:c>
    </x:row>
    <x:row r="28" ht="21" customHeight="1">
      <x:c r="A28" s="3"/>
      <x:c r="B28" s="3"/>
      <x:c r="C28" s="3"/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/>
    </x:row>
    <x:row r="29" ht="21" customHeight="1">
      <x:c r="A29" s="3"/>
      <x:c r="B29" s="3"/>
      <x:c r="C29" s="40" t="str">
        <x:v>All annual drivers above are analyst assumptions. 2028 growth is calibrated to the revenue anchor.</x:v>
      </x:c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5"/>
    </x:row>
    <x:row r="30" ht="21" customHeight="1">
      <x:c r="A30" s="3"/>
      <x:c r="B30" s="3"/>
      <x:c r="C30" s="40" t="str">
        <x:v>EBIT includes compute, training, channel fees and stock compensation. Capex is separate cash investment.</x:v>
      </x:c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</x:row>
    <x:row r="31" ht="21" customHeight="1">
      <x:c r="A31" s="3"/>
      <x:c r="B31" s="3"/>
      <x:c r="C31" s="40" t="str">
        <x:v>Long-term compute obligations are not all current debt or one-year capex. Their timing is not modeled separately.</x:v>
      </x:c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5"/>
    </x:row>
    <x:row r="32" ht="21" customHeight="1">
      <x:c r="A32" s="3"/>
      <x:c r="B32" s="3"/>
      <x:c r="C32" s="40" t="str">
        <x:v>DCF assumes financing is available. Any later equity dilution or funding shortfall needs a separate model.</x:v>
      </x:c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</x:row>
    <x:row r="33" ht="21" customHeight="1">
      <x:c r="A33" s="3"/>
      <x:c r="B33" s="3"/>
      <x:c r="C33" s="3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</x:row>
    <x:row r="34" ht="23" customHeight="1">
      <x:c r="A34" s="3"/>
      <x:c r="B34" s="3"/>
      <x:c r="C34" s="12" t="str">
        <x:v>Published reference figures</x:v>
      </x:c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</x:row>
    <x:row r="35" ht="21" customHeight="1">
      <x:c r="A35" s="3"/>
      <x:c r="B35" s="3"/>
      <x:c r="C35" s="32" t="str">
        <x:v>Metric</x:v>
      </x:c>
      <x:c r="D35" s="43" t="str">
        <x:v>Value</x:v>
      </x:c>
      <x:c r="E35" s="43" t="str">
        <x:v>Period</x:v>
      </x:c>
      <x:c r="F35" s="43" t="str">
        <x:v>Classification</x:v>
      </x:c>
      <x:c r="G35" s="43" t="str">
        <x:v>Source ID</x:v>
      </x:c>
      <x:c r="H35" s="5"/>
      <x:c r="I35" s="5"/>
      <x:c r="J35" s="5"/>
      <x:c r="K35" s="5"/>
      <x:c r="L35" s="5"/>
      <x:c r="M35" s="5"/>
      <x:c r="N35" s="5"/>
    </x:row>
    <x:row r="36" ht="21" customHeight="1">
      <x:c r="A36" s="3"/>
      <x:c r="B36" s="3"/>
      <x:c r="C36" s="3" t="str">
        <x:v>Revenue, approximately</x:v>
      </x:c>
      <x:c r="D36" s="44" t="n">
        <x:v>4.6</x:v>
      </x:c>
      <x:c r="E36" s="45" t="str">
        <x:v>2025</x:v>
      </x:c>
      <x:c r="F36" s="4" t="str">
        <x:v>Media-reported</x:v>
      </x:c>
      <x:c r="G36" s="4" t="str">
        <x:v>S3</x:v>
      </x:c>
      <x:c r="H36" s="5"/>
      <x:c r="I36" s="5"/>
      <x:c r="J36" s="5"/>
      <x:c r="K36" s="5"/>
      <x:c r="L36" s="5"/>
      <x:c r="M36" s="5"/>
      <x:c r="N36" s="5"/>
    </x:row>
    <x:row r="37" ht="21" customHeight="1">
      <x:c r="A37" s="3"/>
      <x:c r="B37" s="3"/>
      <x:c r="C37" s="3" t="str">
        <x:v>Operating loss, more than</x:v>
      </x:c>
      <x:c r="D37" s="44" t="n">
        <x:v>-8</x:v>
      </x:c>
      <x:c r="E37" s="45" t="str">
        <x:v>2025</x:v>
      </x:c>
      <x:c r="F37" s="4" t="str">
        <x:v>Media-reported</x:v>
      </x:c>
      <x:c r="G37" s="4" t="str">
        <x:v>S3</x:v>
      </x:c>
      <x:c r="H37" s="5"/>
      <x:c r="I37" s="5"/>
      <x:c r="J37" s="5"/>
      <x:c r="K37" s="5"/>
      <x:c r="L37" s="5"/>
      <x:c r="M37" s="5"/>
      <x:c r="N37" s="5"/>
    </x:row>
    <x:row r="38" ht="21" customHeight="1">
      <x:c r="A38" s="3"/>
      <x:c r="B38" s="3"/>
      <x:c r="C38" s="3" t="str">
        <x:v>Series H post-money equity value</x:v>
      </x:c>
      <x:c r="D38" s="44" t="n">
        <x:v>965</x:v>
      </x:c>
      <x:c r="E38" s="45" t="str">
        <x:v>28-May-26</x:v>
      </x:c>
      <x:c r="F38" s="4" t="str">
        <x:v>Company-reported</x:v>
      </x:c>
      <x:c r="G38" s="4" t="str">
        <x:v>S1</x:v>
      </x:c>
      <x:c r="H38" s="5"/>
      <x:c r="I38" s="5"/>
      <x:c r="J38" s="5"/>
      <x:c r="K38" s="5"/>
      <x:c r="L38" s="5"/>
      <x:c r="M38" s="5"/>
      <x:c r="N38" s="5"/>
    </x:row>
    <x:row r="39" ht="21" customHeight="1">
      <x:c r="A39" s="3"/>
      <x:c r="B39" s="3"/>
      <x:c r="C39" s="3" t="str">
        <x:v>Series H funds raised</x:v>
      </x:c>
      <x:c r="D39" s="44" t="n">
        <x:v>65</x:v>
      </x:c>
      <x:c r="E39" s="45" t="str">
        <x:v>28-May-26</x:v>
      </x:c>
      <x:c r="F39" s="4" t="str">
        <x:v>Company-reported</x:v>
      </x:c>
      <x:c r="G39" s="4" t="str">
        <x:v>S1</x:v>
      </x:c>
      <x:c r="H39" s="5"/>
      <x:c r="I39" s="5"/>
      <x:c r="J39" s="5"/>
      <x:c r="K39" s="5"/>
      <x:c r="L39" s="5"/>
      <x:c r="M39" s="5"/>
      <x:c r="N39" s="5"/>
    </x:row>
    <x:row r="40" ht="21" customHeight="1">
      <x:c r="A40" s="3"/>
      <x:c r="B40" s="3"/>
      <x:c r="C40" s="3" t="str">
        <x:v>Revenue run rate, over</x:v>
      </x:c>
      <x:c r="D40" s="44" t="n">
        <x:v>47</x:v>
      </x:c>
      <x:c r="E40" s="45" t="str">
        <x:v>May-26</x:v>
      </x:c>
      <x:c r="F40" s="4" t="str">
        <x:v>Company-reported</x:v>
      </x:c>
      <x:c r="G40" s="4" t="str">
        <x:v>S1</x:v>
      </x:c>
      <x:c r="H40" s="5"/>
      <x:c r="I40" s="5"/>
      <x:c r="J40" s="5"/>
      <x:c r="K40" s="5"/>
      <x:c r="L40" s="5"/>
      <x:c r="M40" s="5"/>
      <x:c r="N40" s="5"/>
    </x:row>
    <x:row r="41" ht="21" customHeight="1">
      <x:c r="A41" s="3"/>
      <x:c r="B41" s="3"/>
      <x:c r="C41" s="3" t="str">
        <x:v>Revenue pace, over</x:v>
      </x:c>
      <x:c r="D41" s="44" t="n">
        <x:v>100</x:v>
      </x:c>
      <x:c r="E41" s="45" t="str">
        <x:v>18-Sep-26</x:v>
      </x:c>
      <x:c r="F41" s="4" t="str">
        <x:v>Media-reported</x:v>
      </x:c>
      <x:c r="G41" s="4" t="str">
        <x:v>S4</x:v>
      </x:c>
      <x:c r="H41" s="5"/>
      <x:c r="I41" s="5"/>
      <x:c r="J41" s="5"/>
      <x:c r="K41" s="5"/>
      <x:c r="L41" s="5"/>
      <x:c r="M41" s="5"/>
      <x:c r="N41" s="5"/>
    </x:row>
    <x:row r="42" ht="21" customHeight="1">
      <x:c r="A42" s="3"/>
      <x:c r="B42" s="3"/>
      <x:c r="C42" s="3" t="str">
        <x:v>2028 revenue forecast, low</x:v>
      </x:c>
      <x:c r="D42" s="44" t="n">
        <x:v>190</x:v>
      </x:c>
      <x:c r="E42" s="45" t="str">
        <x:v>2028</x:v>
      </x:c>
      <x:c r="F42" s="4" t="str">
        <x:v>Reported projection</x:v>
      </x:c>
      <x:c r="G42" s="4" t="str">
        <x:v>S2</x:v>
      </x:c>
      <x:c r="H42" s="5"/>
      <x:c r="I42" s="5"/>
      <x:c r="J42" s="5"/>
      <x:c r="K42" s="5"/>
      <x:c r="L42" s="5"/>
      <x:c r="M42" s="5"/>
      <x:c r="N42" s="5"/>
    </x:row>
    <x:row r="43" ht="21" customHeight="1">
      <x:c r="A43" s="3"/>
      <x:c r="B43" s="3"/>
      <x:c r="C43" s="3" t="str">
        <x:v>2028 revenue forecast, high</x:v>
      </x:c>
      <x:c r="D43" s="44" t="n">
        <x:v>200</x:v>
      </x:c>
      <x:c r="E43" s="45" t="str">
        <x:v>2028</x:v>
      </x:c>
      <x:c r="F43" s="4" t="str">
        <x:v>Reported projection</x:v>
      </x:c>
      <x:c r="G43" s="4" t="str">
        <x:v>S2</x:v>
      </x:c>
      <x:c r="H43" s="5"/>
      <x:c r="I43" s="5"/>
      <x:c r="J43" s="5"/>
      <x:c r="K43" s="5"/>
      <x:c r="L43" s="5"/>
      <x:c r="M43" s="5"/>
      <x:c r="N43" s="5"/>
    </x:row>
    <x:row r="44" ht="21" customHeight="1">
      <x:c r="A44" s="3"/>
      <x:c r="B44" s="3"/>
      <x:c r="C44" s="3" t="str">
        <x:v>IPO equity benchmark, about</x:v>
      </x:c>
      <x:c r="D44" s="44" t="n">
        <x:v>2000</x:v>
      </x:c>
      <x:c r="E44" s="45" t="str">
        <x:v>Sep-26</x:v>
      </x:c>
      <x:c r="F44" s="4" t="str">
        <x:v>Reported target</x:v>
      </x:c>
      <x:c r="G44" s="4" t="str">
        <x:v>S3</x:v>
      </x:c>
      <x:c r="H44" s="5"/>
      <x:c r="I44" s="5"/>
      <x:c r="J44" s="5"/>
      <x:c r="K44" s="5"/>
      <x:c r="L44" s="5"/>
      <x:c r="M44" s="5"/>
      <x:c r="N44" s="5"/>
    </x:row>
    <x:row r="45" ht="21" customHeight="1">
      <x:c r="A45" s="3"/>
      <x:c r="B45" s="3"/>
      <x:c r="C45" s="3" t="str">
        <x:v>Long-term compute commitments, over</x:v>
      </x:c>
      <x:c r="D45" s="44" t="n">
        <x:v>417</x:v>
      </x:c>
      <x:c r="E45" s="45" t="str">
        <x:v>Early 2026</x:v>
      </x:c>
      <x:c r="F45" s="4" t="str">
        <x:v>Media-reported</x:v>
      </x:c>
      <x:c r="G45" s="4" t="str">
        <x:v>S3</x:v>
      </x:c>
      <x:c r="H45" s="5"/>
      <x:c r="I45" s="5"/>
      <x:c r="J45" s="5"/>
      <x:c r="K45" s="5"/>
      <x:c r="L45" s="5"/>
      <x:c r="M45" s="5"/>
      <x:c r="N45" s="5"/>
    </x:row>
    <x:row r="46" ht="21" customHeight="1">
      <x:c r="A46" s="3"/>
      <x:c r="B46" s="3"/>
      <x:c r="C46" s="21" t="str">
        <x:v>Each of two largest customers / sales</x:v>
      </x:c>
      <x:c r="D46" s="47" t="n">
        <x:v>0.12</x:v>
      </x:c>
      <x:c r="E46" s="45" t="str">
        <x:v>2025</x:v>
      </x:c>
      <x:c r="F46" s="4" t="str">
        <x:v>Media-reported</x:v>
      </x:c>
      <x:c r="G46" s="4" t="str">
        <x:v>S3</x:v>
      </x:c>
      <x:c r="H46" s="5"/>
      <x:c r="I46" s="5"/>
      <x:c r="J46" s="5"/>
      <x:c r="K46" s="5"/>
      <x:c r="L46" s="5"/>
      <x:c r="M46" s="5"/>
      <x:c r="N46" s="5"/>
    </x:row>
    <x:row r="47" ht="21" customHeight="1">
      <x:c r="A47" s="3"/>
      <x:c r="B47" s="3"/>
      <x:c r="C47" s="21" t="str">
        <x:v>Amazon and Google channels / sales</x:v>
      </x:c>
      <x:c r="D47" s="47" t="n">
        <x:v>0.47</x:v>
      </x:c>
      <x:c r="E47" s="45" t="str">
        <x:v>2025</x:v>
      </x:c>
      <x:c r="F47" s="4" t="str">
        <x:v>Media-reported</x:v>
      </x:c>
      <x:c r="G47" s="4" t="str">
        <x:v>S3</x:v>
      </x:c>
      <x:c r="H47" s="5"/>
      <x:c r="I47" s="5"/>
      <x:c r="J47" s="5"/>
      <x:c r="K47" s="5"/>
      <x:c r="L47" s="5"/>
      <x:c r="M47" s="5"/>
      <x:c r="N47" s="5"/>
    </x:row>
    <x:row r="48" ht="21" customHeight="1">
      <x:c r="A48" s="3"/>
      <x:c r="B48" s="3"/>
      <x:c r="C48" s="3" t="str">
        <x:v>Channel partner distribution fees</x:v>
      </x:c>
      <x:c r="D48" s="48" t="n">
        <x:v>0.351</x:v>
      </x:c>
      <x:c r="E48" s="45" t="str">
        <x:v>2025</x:v>
      </x:c>
      <x:c r="F48" s="4" t="str">
        <x:v>Media-reported</x:v>
      </x:c>
      <x:c r="G48" s="4" t="str">
        <x:v>S3</x:v>
      </x:c>
      <x:c r="H48" s="5"/>
      <x:c r="I48" s="5"/>
      <x:c r="J48" s="5"/>
      <x:c r="K48" s="5"/>
      <x:c r="L48" s="5"/>
      <x:c r="M48" s="5"/>
      <x:c r="N48" s="5"/>
    </x:row>
    <x:row r="49" ht="21" customHeight="1">
      <x:c r="A49" s="3"/>
      <x:c r="B49" s="3"/>
      <x:c r="C49" s="3"/>
      <x:c r="D49" s="5"/>
      <x:c r="E49" s="5"/>
      <x:c r="F49" s="5"/>
      <x:c r="G49" s="5"/>
      <x:c r="H49" s="5"/>
      <x:c r="I49" s="5"/>
      <x:c r="J49" s="5"/>
      <x:c r="K49" s="5"/>
      <x:c r="L49" s="5"/>
      <x:c r="M49" s="5"/>
      <x:c r="N49" s="5"/>
    </x:row>
    <x:row r="50" ht="21" customHeight="1">
      <x:c r="A50" s="3"/>
      <x:c r="B50" s="3"/>
      <x:c r="C50" s="49" t="str">
        <x:v>Run-rate revenue annualizes a recent pace. It is not full-year recognized revenue or contracted ARR.</x:v>
      </x:c>
      <x:c r="D50" s="5"/>
      <x:c r="E50" s="5"/>
      <x:c r="F50" s="5"/>
      <x:c r="G50" s="5"/>
      <x:c r="H50" s="5"/>
      <x:c r="I50" s="5"/>
      <x:c r="J50" s="5"/>
      <x:c r="K50" s="5"/>
      <x:c r="L50" s="5"/>
      <x:c r="M50" s="5"/>
      <x:c r="N50" s="5"/>
    </x:row>
    <x:row r="51" ht="21" customHeight="1">
      <x:c r="A51" s="3"/>
      <x:c r="B51" s="3"/>
      <x:c r="C51" s="3"/>
      <x:c r="D51" s="5"/>
      <x:c r="E51" s="5"/>
      <x:c r="F51" s="5"/>
      <x:c r="G51" s="5"/>
      <x:c r="H51" s="5"/>
      <x:c r="I51" s="5"/>
      <x:c r="J51" s="5"/>
      <x:c r="K51" s="5"/>
      <x:c r="L51" s="5"/>
      <x:c r="M51" s="5"/>
      <x:c r="N51" s="5"/>
    </x:row>
    <x:row r="52" ht="23" customHeight="1">
      <x:c r="A52" s="3"/>
      <x:c r="B52" s="3"/>
      <x:c r="C52" s="12" t="str">
        <x:v>Source links</x:v>
      </x:c>
      <x:c r="D52" s="13"/>
      <x:c r="E52" s="13"/>
      <x:c r="F52" s="13"/>
      <x:c r="G52" s="13"/>
      <x:c r="H52" s="13"/>
      <x:c r="I52" s="13"/>
      <x:c r="J52" s="13"/>
      <x:c r="K52" s="13"/>
      <x:c r="L52" s="13"/>
      <x:c r="M52" s="13"/>
      <x:c r="N52" s="13"/>
    </x:row>
    <x:row r="53" ht="21" customHeight="1">
      <x:c r="A53" s="3"/>
      <x:c r="B53" s="3"/>
      <x:c r="C53" s="3"/>
      <x:c r="D53" s="5"/>
      <x:c r="E53" s="5"/>
      <x:c r="F53" s="5"/>
      <x:c r="G53" s="5"/>
      <x:c r="H53" s="5"/>
      <x:c r="I53" s="5"/>
      <x:c r="J53" s="5"/>
      <x:c r="K53" s="5"/>
      <x:c r="L53" s="5"/>
      <x:c r="M53" s="5"/>
      <x:c r="N53" s="5"/>
    </x:row>
    <x:row r="54" ht="21" customHeight="1">
      <x:c r="A54" s="3"/>
      <x:c r="B54" s="3"/>
      <x:c r="C54" s="3" t="str">
        <x:v>S1. Anthropic, 28 May 2026. Series H announcement.</x:v>
      </x:c>
      <x:c r="D54" s="5"/>
      <x:c r="E54" s="5"/>
      <x:c r="F54" s="5"/>
      <x:c r="G54" s="5"/>
      <x:c r="H54" s="5"/>
      <x:c r="I54" s="5"/>
      <x:c r="J54" s="5"/>
      <x:c r="K54" s="5"/>
      <x:c r="L54" s="5"/>
      <x:c r="M54" s="5"/>
      <x:c r="N54" s="5"/>
    </x:row>
    <x:row r="55" ht="21" customHeight="1">
      <x:c r="A55" s="3"/>
      <x:c r="B55" s="3"/>
      <x:c r="C55" s="50" t="str">
        <x:v>https://www.anthropic.com/news/series-h</x:v>
      </x:c>
      <x:c r="D55" s="5"/>
      <x:c r="E55" s="5"/>
      <x:c r="F55" s="5"/>
      <x:c r="G55" s="5"/>
      <x:c r="H55" s="5"/>
      <x:c r="I55" s="5"/>
      <x:c r="J55" s="5"/>
      <x:c r="K55" s="5"/>
      <x:c r="L55" s="5"/>
      <x:c r="M55" s="5"/>
      <x:c r="N55" s="5"/>
    </x:row>
    <x:row r="56" ht="21" customHeight="1">
      <x:c r="A56" s="3"/>
      <x:c r="B56" s="3"/>
      <x:c r="C56" s="3"/>
      <x:c r="D56" s="5"/>
      <x:c r="E56" s="5"/>
      <x:c r="F56" s="5"/>
      <x:c r="G56" s="5"/>
      <x:c r="H56" s="5"/>
      <x:c r="I56" s="5"/>
      <x:c r="J56" s="5"/>
      <x:c r="K56" s="5"/>
      <x:c r="L56" s="5"/>
      <x:c r="M56" s="5"/>
      <x:c r="N56" s="5"/>
    </x:row>
    <x:row r="57" ht="21" customHeight="1">
      <x:c r="A57" s="3"/>
      <x:c r="B57" s="3"/>
      <x:c r="C57" s="3" t="str">
        <x:v>S2. Reuters, article dated 14 Aug 2026, syndicated 17 Aug. 2028 revenue projection.</x:v>
      </x:c>
      <x:c r="D57" s="5"/>
      <x:c r="E57" s="5"/>
      <x:c r="F57" s="5"/>
      <x:c r="G57" s="5"/>
      <x:c r="H57" s="5"/>
      <x:c r="I57" s="5"/>
      <x:c r="J57" s="5"/>
      <x:c r="K57" s="5"/>
      <x:c r="L57" s="5"/>
      <x:c r="M57" s="5"/>
      <x:c r="N57" s="5"/>
    </x:row>
    <x:row r="58" ht="21" customHeight="1">
      <x:c r="A58" s="3"/>
      <x:c r="B58" s="3"/>
      <x:c r="C58" s="50" t="str">
        <x:v>https://www.investing.com/news/stock-market-news/anthropic-ipo-valuation-hinges-on-190200-billion-2028-revenue-forecast-sources-say-4862222?ampMode=1</x:v>
      </x:c>
      <x:c r="D58" s="5"/>
      <x:c r="E58" s="5"/>
      <x:c r="F58" s="5"/>
      <x:c r="G58" s="5"/>
      <x:c r="H58" s="5"/>
      <x:c r="I58" s="5"/>
      <x:c r="J58" s="5"/>
      <x:c r="K58" s="5"/>
      <x:c r="L58" s="5"/>
      <x:c r="M58" s="5"/>
      <x:c r="N58" s="5"/>
    </x:row>
    <x:row r="59" ht="21" customHeight="1">
      <x:c r="A59" s="3"/>
      <x:c r="B59" s="3"/>
      <x:c r="C59" s="3"/>
      <x:c r="D59" s="5"/>
      <x:c r="E59" s="5"/>
      <x:c r="F59" s="5"/>
      <x:c r="G59" s="5"/>
      <x:c r="H59" s="5"/>
      <x:c r="I59" s="5"/>
      <x:c r="J59" s="5"/>
      <x:c r="K59" s="5"/>
      <x:c r="L59" s="5"/>
      <x:c r="M59" s="5"/>
      <x:c r="N59" s="5"/>
    </x:row>
    <x:row r="60" ht="21" customHeight="1">
      <x:c r="A60" s="3"/>
      <x:c r="B60" s="3"/>
      <x:c r="C60" s="3" t="str">
        <x:v>S3. Reuters, 29 Sep 2026. Prospectus figures and dependence on cloud partners.</x:v>
      </x:c>
      <x:c r="D60" s="5"/>
      <x:c r="E60" s="5"/>
      <x:c r="F60" s="5"/>
      <x:c r="G60" s="5"/>
      <x:c r="H60" s="5"/>
      <x:c r="I60" s="5"/>
      <x:c r="J60" s="5"/>
      <x:c r="K60" s="5"/>
      <x:c r="L60" s="5"/>
      <x:c r="M60" s="5"/>
      <x:c r="N60" s="5"/>
    </x:row>
    <x:row r="61" ht="21" customHeight="1">
      <x:c r="A61" s="3"/>
      <x:c r="B61" s="3"/>
      <x:c r="C61" s="50" t="str">
        <x:v>https://www.streetinsider.com/Reuters/Exclusive-Anthropic%2BIPO%2Bprospectus%2Blays%2Bbare%2Bdeep%2Bdependence%2Bon%2BBig%2BTech%2Bpartners/27123187.html</x:v>
      </x:c>
      <x:c r="D61" s="5"/>
      <x:c r="E61" s="5"/>
      <x:c r="F61" s="5"/>
      <x:c r="G61" s="5"/>
      <x:c r="H61" s="5"/>
      <x:c r="I61" s="5"/>
      <x:c r="J61" s="5"/>
      <x:c r="K61" s="5"/>
      <x:c r="L61" s="5"/>
      <x:c r="M61" s="5"/>
      <x:c r="N61" s="5"/>
    </x:row>
    <x:row r="62" ht="21" customHeight="1">
      <x:c r="A62" s="3"/>
      <x:c r="B62" s="3"/>
      <x:c r="C62" s="3"/>
      <x:c r="D62" s="5"/>
      <x:c r="E62" s="5"/>
      <x:c r="F62" s="5"/>
      <x:c r="G62" s="5"/>
      <x:c r="H62" s="5"/>
      <x:c r="I62" s="5"/>
      <x:c r="J62" s="5"/>
      <x:c r="K62" s="5"/>
      <x:c r="L62" s="5"/>
      <x:c r="M62" s="5"/>
      <x:c r="N62" s="5"/>
    </x:row>
    <x:row r="63" ht="21" customHeight="1">
      <x:c r="A63" s="3"/>
      <x:c r="B63" s="3"/>
      <x:c r="C63" s="3" t="str">
        <x:v>S4. Axios, 18 Sep 2026. Reported revenue pace.</x:v>
      </x:c>
      <x:c r="D63" s="5"/>
      <x:c r="E63" s="5"/>
      <x:c r="F63" s="5"/>
      <x:c r="G63" s="5"/>
      <x:c r="H63" s="5"/>
      <x:c r="I63" s="5"/>
      <x:c r="J63" s="5"/>
      <x:c r="K63" s="5"/>
      <x:c r="L63" s="5"/>
      <x:c r="M63" s="5"/>
      <x:c r="N63" s="5"/>
    </x:row>
    <x:row r="64" ht="21" customHeight="1">
      <x:c r="A64" s="3"/>
      <x:c r="B64" s="3"/>
      <x:c r="C64" s="50" t="str">
        <x:v>https://www.axios.com/2026/09/18/anthropic-100-billion-revenue</x:v>
      </x:c>
      <x:c r="D64" s="5"/>
      <x:c r="E64" s="5"/>
      <x:c r="F64" s="5"/>
      <x:c r="G64" s="5"/>
      <x:c r="H64" s="5"/>
      <x:c r="I64" s="5"/>
      <x:c r="J64" s="5"/>
      <x:c r="K64" s="5"/>
      <x:c r="L64" s="5"/>
      <x:c r="M64" s="5"/>
      <x:c r="N64" s="5"/>
    </x:row>
    <x:row r="65" ht="21" customHeight="1">
      <x:c r="A65" s="3"/>
      <x:c r="B65" s="3"/>
      <x:c r="C65" s="3"/>
      <x:c r="D65" s="5"/>
      <x:c r="E65" s="5"/>
      <x:c r="F65" s="5"/>
      <x:c r="G65" s="5"/>
      <x:c r="H65" s="5"/>
      <x:c r="I65" s="5"/>
      <x:c r="J65" s="5"/>
      <x:c r="K65" s="5"/>
      <x:c r="L65" s="5"/>
      <x:c r="M65" s="5"/>
      <x:c r="N65" s="5"/>
    </x:row>
    <x:row r="66" ht="21" customHeight="1">
      <x:c r="A66" s="3"/>
      <x:c r="B66" s="3"/>
      <x:c r="C66" s="3" t="str">
        <x:v>S5. Anthropic, 1 Jun 2026. Confidential draft S-1 submitted.</x:v>
      </x:c>
      <x:c r="D66" s="5"/>
      <x:c r="E66" s="5"/>
      <x:c r="F66" s="5"/>
      <x:c r="G66" s="5"/>
      <x:c r="H66" s="5"/>
      <x:c r="I66" s="5"/>
      <x:c r="J66" s="5"/>
      <x:c r="K66" s="5"/>
      <x:c r="L66" s="5"/>
      <x:c r="M66" s="5"/>
      <x:c r="N66" s="5"/>
    </x:row>
    <x:row r="67" ht="21" customHeight="1">
      <x:c r="A67" s="3"/>
      <x:c r="B67" s="3"/>
      <x:c r="C67" s="50" t="str">
        <x:v>https://www.anthropic.com/news/confidential-draft-s1-sec</x:v>
      </x:c>
      <x:c r="D67" s="5"/>
      <x:c r="E67" s="5"/>
      <x:c r="F67" s="5"/>
      <x:c r="G67" s="5"/>
      <x:c r="H67" s="5"/>
      <x:c r="I67" s="5"/>
      <x:c r="J67" s="5"/>
      <x:c r="K67" s="5"/>
      <x:c r="L67" s="5"/>
      <x:c r="M67" s="5"/>
      <x:c r="N67" s="5"/>
    </x:row>
    <x:row r="68" ht="21" customHeight="1">
      <x:c r="A68" s="3"/>
      <x:c r="B68" s="3"/>
      <x:c r="C68" s="3"/>
      <x:c r="D68" s="5"/>
      <x:c r="E68" s="5"/>
      <x:c r="F68" s="5"/>
      <x:c r="G68" s="5"/>
      <x:c r="H68" s="5"/>
      <x:c r="I68" s="5"/>
      <x:c r="J68" s="5"/>
      <x:c r="K68" s="5"/>
      <x:c r="L68" s="5"/>
      <x:c r="M68" s="5"/>
      <x:c r="N68" s="5"/>
    </x:row>
    <x:row r="69" ht="21" customHeight="1">
      <x:c r="A69" s="3"/>
      <x:c r="B69" s="3"/>
      <x:c r="C69" s="3" t="str">
        <x:v>The confidential draft itself was not independently reviewed. Reported targets and projections may change.</x:v>
      </x:c>
      <x:c r="D69" s="5"/>
      <x:c r="E69" s="5"/>
      <x:c r="F69" s="5"/>
      <x:c r="G69" s="5"/>
      <x:c r="H69" s="5"/>
      <x:c r="I69" s="5"/>
      <x:c r="J69" s="5"/>
      <x:c r="K69" s="5"/>
      <x:c r="L69" s="5"/>
      <x:c r="M69" s="5"/>
      <x:c r="N69" s="5"/>
    </x:row>
    <x:row r="70" ht="21" customHeight="1">
      <x:c r="A70" s="3"/>
      <x:c r="B70" s="3"/>
      <x:c r="C70" s="3"/>
      <x:c r="D70" s="5"/>
      <x:c r="E70" s="5"/>
      <x:c r="F70" s="5"/>
      <x:c r="G70" s="5"/>
      <x:c r="H70" s="5"/>
      <x:c r="I70" s="5"/>
      <x:c r="J70" s="5"/>
      <x:c r="K70" s="5"/>
      <x:c r="L70" s="5"/>
      <x:c r="M70" s="5"/>
      <x:c r="N70" s="5"/>
    </x:row>
    <x:row r="71" ht="21" customHeight="1">
      <x:c r="A71" s="3"/>
      <x:c r="B71" s="3"/>
      <x:c r="C71" s="3"/>
      <x:c r="D71" s="5"/>
      <x:c r="E71" s="5"/>
      <x:c r="F71" s="5"/>
      <x:c r="G71" s="5"/>
      <x:c r="H71" s="5"/>
      <x:c r="I71" s="5"/>
      <x:c r="J71" s="5"/>
      <x:c r="K71" s="5"/>
      <x:c r="L71" s="5"/>
      <x:c r="M71" s="5"/>
      <x:c r="N71" s="5"/>
    </x:row>
    <x:row r="72" ht="21" customHeight="1">
      <x:c r="A72" s="3"/>
      <x:c r="B72" s="3"/>
      <x:c r="C72" s="3"/>
      <x:c r="D72" s="5"/>
      <x:c r="E72" s="5"/>
      <x:c r="F72" s="5"/>
      <x:c r="G72" s="5"/>
      <x:c r="H72" s="5"/>
      <x:c r="I72" s="5"/>
      <x:c r="J72" s="5"/>
      <x:c r="K72" s="5"/>
      <x:c r="L72" s="5"/>
      <x:c r="M72" s="5"/>
      <x:c r="N72" s="5"/>
    </x:row>
    <x:row r="73" ht="21" customHeight="1">
      <x:c r="A73" s="3"/>
      <x:c r="B73" s="3"/>
      <x:c r="C73" s="3"/>
      <x:c r="D73" s="5"/>
      <x:c r="E73" s="5"/>
      <x:c r="F73" s="5"/>
      <x:c r="G73" s="5"/>
      <x:c r="H73" s="5"/>
      <x:c r="I73" s="5"/>
      <x:c r="J73" s="5"/>
      <x:c r="K73" s="5"/>
      <x:c r="L73" s="5"/>
      <x:c r="M73" s="5"/>
      <x:c r="N73" s="5"/>
    </x:row>
    <x:row r="74" ht="21" customHeight="1">
      <x:c r="A74" s="3"/>
      <x:c r="B74" s="3"/>
      <x:c r="C74" s="3"/>
      <x:c r="D74" s="5"/>
      <x:c r="E74" s="5"/>
      <x:c r="F74" s="5"/>
      <x:c r="G74" s="5"/>
      <x:c r="H74" s="5"/>
      <x:c r="I74" s="5"/>
      <x:c r="J74" s="5"/>
      <x:c r="K74" s="5"/>
      <x:c r="L74" s="5"/>
      <x:c r="M74" s="5"/>
      <x:c r="N74" s="5"/>
    </x:row>
    <x:row r="75" ht="21" customHeight="1">
      <x:c r="A75" s="3"/>
      <x:c r="B75" s="3"/>
      <x:c r="C75" s="3"/>
      <x:c r="D75" s="5"/>
      <x:c r="E75" s="5"/>
      <x:c r="F75" s="5"/>
      <x:c r="G75" s="5"/>
      <x:c r="H75" s="5"/>
      <x:c r="I75" s="5"/>
      <x:c r="J75" s="5"/>
      <x:c r="K75" s="5"/>
      <x:c r="L75" s="5"/>
      <x:c r="M75" s="5"/>
      <x:c r="N75" s="5"/>
    </x:row>
    <x:row r="76" ht="21" customHeight="1">
      <x:c r="A76" s="3"/>
      <x:c r="B76" s="3"/>
      <x:c r="C76" s="3"/>
      <x:c r="D76" s="5"/>
      <x:c r="E76" s="5"/>
      <x:c r="F76" s="5"/>
      <x:c r="G76" s="5"/>
      <x:c r="H76" s="5"/>
      <x:c r="I76" s="5"/>
      <x:c r="J76" s="5"/>
      <x:c r="K76" s="5"/>
      <x:c r="L76" s="5"/>
      <x:c r="M76" s="5"/>
      <x:c r="N76" s="5"/>
    </x:row>
    <x:row r="77" ht="21" customHeight="1">
      <x:c r="A77" s="3"/>
      <x:c r="B77" s="3"/>
      <x:c r="C77" s="3"/>
      <x:c r="D77" s="5"/>
      <x:c r="E77" s="5"/>
      <x:c r="F77" s="5"/>
      <x:c r="G77" s="5"/>
      <x:c r="H77" s="5"/>
      <x:c r="I77" s="5"/>
      <x:c r="J77" s="5"/>
      <x:c r="K77" s="5"/>
      <x:c r="L77" s="5"/>
      <x:c r="M77" s="5"/>
      <x:c r="N77" s="5"/>
    </x:row>
    <x:row r="78" ht="21" customHeight="1">
      <x:c r="A78" s="3"/>
      <x:c r="B78" s="3"/>
      <x:c r="C78" s="3"/>
      <x:c r="D78" s="5"/>
      <x:c r="E78" s="5"/>
      <x:c r="F78" s="5"/>
      <x:c r="G78" s="5"/>
      <x:c r="H78" s="5"/>
      <x:c r="I78" s="5"/>
      <x:c r="J78" s="5"/>
      <x:c r="K78" s="5"/>
      <x:c r="L78" s="5"/>
      <x:c r="M78" s="5"/>
      <x:c r="N78" s="5"/>
    </x:row>
    <x:row r="79" ht="21" customHeight="1">
      <x:c r="A79" s="3"/>
      <x:c r="B79" s="3"/>
      <x:c r="C79" s="3"/>
      <x:c r="D79" s="5"/>
      <x:c r="E79" s="5"/>
      <x:c r="F79" s="5"/>
      <x:c r="G79" s="5"/>
      <x:c r="H79" s="5"/>
      <x:c r="I79" s="5"/>
      <x:c r="J79" s="5"/>
      <x:c r="K79" s="5"/>
      <x:c r="L79" s="5"/>
      <x:c r="M79" s="5"/>
      <x:c r="N79" s="5"/>
    </x:row>
    <x:row r="80" ht="21" customHeight="1">
      <x:c r="A80" s="3"/>
      <x:c r="B80" s="3"/>
      <x:c r="C80" s="3"/>
      <x:c r="D80" s="5"/>
      <x:c r="E80" s="5"/>
      <x:c r="F80" s="5"/>
      <x:c r="G80" s="5"/>
      <x:c r="H80" s="5"/>
      <x:c r="I80" s="5"/>
      <x:c r="J80" s="5"/>
      <x:c r="K80" s="5"/>
      <x:c r="L80" s="5"/>
      <x:c r="M80" s="5"/>
      <x:c r="N80" s="5"/>
    </x:row>
    <x:row r="81" ht="21" customHeight="1">
      <x:c r="A81" s="3"/>
      <x:c r="B81" s="3"/>
      <x:c r="C81" s="3"/>
      <x:c r="D81" s="5"/>
      <x:c r="E81" s="5"/>
      <x:c r="F81" s="5"/>
      <x:c r="G81" s="5"/>
      <x:c r="H81" s="5"/>
      <x:c r="I81" s="5"/>
      <x:c r="J81" s="5"/>
      <x:c r="K81" s="5"/>
      <x:c r="L81" s="5"/>
      <x:c r="M81" s="5"/>
      <x:c r="N81" s="5"/>
    </x:row>
    <x:row r="82" ht="21" customHeight="1">
      <x:c r="A82" s="3"/>
      <x:c r="B82" s="3"/>
      <x:c r="C82" s="3"/>
      <x:c r="D82" s="5"/>
      <x:c r="E82" s="5"/>
      <x:c r="F82" s="5"/>
      <x:c r="G82" s="5"/>
      <x:c r="H82" s="5"/>
      <x:c r="I82" s="5"/>
      <x:c r="J82" s="5"/>
      <x:c r="K82" s="5"/>
      <x:c r="L82" s="5"/>
      <x:c r="M82" s="5"/>
      <x:c r="N82" s="5"/>
    </x:row>
    <x:row r="83" ht="21" customHeight="1">
      <x:c r="A83" s="3"/>
      <x:c r="B83" s="3"/>
      <x:c r="C83" s="3"/>
      <x:c r="D83" s="5"/>
      <x:c r="E83" s="5"/>
      <x:c r="F83" s="5"/>
      <x:c r="G83" s="5"/>
      <x:c r="H83" s="5"/>
      <x:c r="I83" s="5"/>
      <x:c r="J83" s="5"/>
      <x:c r="K83" s="5"/>
      <x:c r="L83" s="5"/>
      <x:c r="M83" s="5"/>
      <x:c r="N83" s="5"/>
    </x:row>
    <x:row r="84" ht="21" customHeight="1">
      <x:c r="A84" s="3"/>
      <x:c r="B84" s="3"/>
      <x:c r="C84" s="3"/>
      <x:c r="D84" s="5"/>
      <x:c r="E84" s="5"/>
      <x:c r="F84" s="5"/>
      <x:c r="G84" s="5"/>
      <x:c r="H84" s="5"/>
      <x:c r="I84" s="5"/>
      <x:c r="J84" s="5"/>
      <x:c r="K84" s="5"/>
      <x:c r="L84" s="5"/>
      <x:c r="M84" s="5"/>
      <x:c r="N84" s="5"/>
    </x:row>
    <x:row r="85" ht="21" customHeight="1">
      <x:c r="A85" s="3"/>
      <x:c r="B85" s="3"/>
      <x:c r="C85" s="3"/>
      <x:c r="D85" s="5"/>
      <x:c r="E85" s="5"/>
      <x:c r="F85" s="5"/>
      <x:c r="G85" s="5"/>
      <x:c r="H85" s="5"/>
      <x:c r="I85" s="5"/>
      <x:c r="J85" s="5"/>
      <x:c r="K85" s="5"/>
      <x:c r="L85" s="5"/>
      <x:c r="M85" s="5"/>
      <x:c r="N85" s="5"/>
    </x:row>
    <x:row r="86" ht="21" customHeight="1">
      <x:c r="A86" s="3"/>
      <x:c r="B86" s="3"/>
      <x:c r="C86" s="3"/>
      <x:c r="D86" s="5"/>
      <x:c r="E86" s="5"/>
      <x:c r="F86" s="5"/>
      <x:c r="G86" s="5"/>
      <x:c r="H86" s="5"/>
      <x:c r="I86" s="5"/>
      <x:c r="J86" s="5"/>
      <x:c r="K86" s="5"/>
      <x:c r="L86" s="5"/>
      <x:c r="M86" s="5"/>
      <x:c r="N86" s="5"/>
    </x:row>
    <x:row r="87" ht="21" customHeight="1">
      <x:c r="A87" s="3"/>
      <x:c r="B87" s="3"/>
      <x:c r="C87" s="3"/>
      <x:c r="D87" s="5"/>
      <x:c r="E87" s="5"/>
      <x:c r="F87" s="5"/>
      <x:c r="G87" s="5"/>
      <x:c r="H87" s="5"/>
      <x:c r="I87" s="5"/>
      <x:c r="J87" s="5"/>
      <x:c r="K87" s="5"/>
      <x:c r="L87" s="5"/>
      <x:c r="M87" s="5"/>
      <x:c r="N87" s="5"/>
    </x:row>
    <x:row r="88" ht="21" customHeight="1">
      <x:c r="A88" s="3"/>
      <x:c r="B88" s="3"/>
      <x:c r="C88" s="3"/>
      <x:c r="D88" s="5"/>
      <x:c r="E88" s="5"/>
      <x:c r="F88" s="5"/>
      <x:c r="G88" s="5"/>
      <x:c r="H88" s="5"/>
      <x:c r="I88" s="5"/>
      <x:c r="J88" s="5"/>
      <x:c r="K88" s="5"/>
      <x:c r="L88" s="5"/>
      <x:c r="M88" s="5"/>
      <x:c r="N88" s="5"/>
    </x:row>
    <x:row r="89" ht="21" customHeight="1">
      <x:c r="A89" s="3"/>
      <x:c r="B89" s="3"/>
      <x:c r="C89" s="3"/>
      <x:c r="D89" s="5"/>
      <x:c r="E89" s="5"/>
      <x:c r="F89" s="5"/>
      <x:c r="G89" s="5"/>
      <x:c r="H89" s="5"/>
      <x:c r="I89" s="5"/>
      <x:c r="J89" s="5"/>
      <x:c r="K89" s="5"/>
      <x:c r="L89" s="5"/>
      <x:c r="M89" s="5"/>
      <x:c r="N89" s="5"/>
    </x:row>
    <x:row r="90" ht="21" customHeight="1">
      <x:c r="A90" s="3"/>
      <x:c r="B90" s="3"/>
      <x:c r="C90" s="3"/>
      <x:c r="D90" s="5"/>
      <x:c r="E90" s="5"/>
      <x:c r="F90" s="5"/>
      <x:c r="G90" s="5"/>
      <x:c r="H90" s="5"/>
      <x:c r="I90" s="5"/>
      <x:c r="J90" s="5"/>
      <x:c r="K90" s="5"/>
      <x:c r="L90" s="5"/>
      <x:c r="M90" s="5"/>
      <x:c r="N90" s="5"/>
    </x:row>
    <x:row r="91" ht="21" customHeight="1">
      <x:c r="A91" s="3"/>
      <x:c r="B91" s="3"/>
      <x:c r="C91" s="3"/>
      <x:c r="D91" s="5"/>
      <x:c r="E91" s="5"/>
      <x:c r="F91" s="5"/>
      <x:c r="G91" s="5"/>
      <x:c r="H91" s="5"/>
      <x:c r="I91" s="5"/>
      <x:c r="J91" s="5"/>
      <x:c r="K91" s="5"/>
      <x:c r="L91" s="5"/>
      <x:c r="M91" s="5"/>
      <x:c r="N91" s="5"/>
    </x:row>
    <x:row r="92" ht="21" customHeight="1">
      <x:c r="A92" s="3"/>
      <x:c r="B92" s="3"/>
      <x:c r="C92" s="3"/>
      <x:c r="D92" s="5"/>
      <x:c r="E92" s="5"/>
      <x:c r="F92" s="5"/>
      <x:c r="G92" s="5"/>
      <x:c r="H92" s="5"/>
      <x:c r="I92" s="5"/>
      <x:c r="J92" s="5"/>
      <x:c r="K92" s="5"/>
      <x:c r="L92" s="5"/>
      <x:c r="M92" s="5"/>
      <x:c r="N92" s="5"/>
    </x:row>
    <x:row r="93" ht="21" customHeight="1">
      <x:c r="A93" s="3"/>
      <x:c r="B93" s="3"/>
      <x:c r="C93" s="3"/>
      <x:c r="D93" s="5"/>
      <x:c r="E93" s="5"/>
      <x:c r="F93" s="5"/>
      <x:c r="G93" s="5"/>
      <x:c r="H93" s="5"/>
      <x:c r="I93" s="5"/>
      <x:c r="J93" s="5"/>
      <x:c r="K93" s="5"/>
      <x:c r="L93" s="5"/>
      <x:c r="M93" s="5"/>
      <x:c r="N93" s="5"/>
    </x:row>
    <x:row r="94" ht="21" customHeight="1">
      <x:c r="A94" s="3"/>
      <x:c r="B94" s="3"/>
      <x:c r="C94" s="3"/>
      <x:c r="D94" s="5"/>
      <x:c r="E94" s="5"/>
      <x:c r="F94" s="5"/>
      <x:c r="G94" s="5"/>
      <x:c r="H94" s="5"/>
      <x:c r="I94" s="5"/>
      <x:c r="J94" s="5"/>
      <x:c r="K94" s="5"/>
      <x:c r="L94" s="5"/>
      <x:c r="M94" s="5"/>
      <x:c r="N94" s="5"/>
    </x:row>
    <x:row r="95" ht="21" customHeight="1">
      <x:c r="A95" s="3"/>
      <x:c r="B95" s="3"/>
      <x:c r="C95" s="3"/>
      <x:c r="D95" s="5"/>
      <x:c r="E95" s="5"/>
      <x:c r="F95" s="5"/>
      <x:c r="G95" s="5"/>
      <x:c r="H95" s="5"/>
      <x:c r="I95" s="5"/>
      <x:c r="J95" s="5"/>
      <x:c r="K95" s="5"/>
      <x:c r="L95" s="5"/>
      <x:c r="M95" s="5"/>
      <x:c r="N95" s="5"/>
    </x:row>
    <x:row r="96" ht="21" customHeight="1">
      <x:c r="A96" s="3"/>
      <x:c r="B96" s="3"/>
      <x:c r="C96" s="3"/>
      <x:c r="D96" s="5"/>
      <x:c r="E96" s="5"/>
      <x:c r="F96" s="5"/>
      <x:c r="G96" s="5"/>
      <x:c r="H96" s="5"/>
      <x:c r="I96" s="5"/>
      <x:c r="J96" s="5"/>
      <x:c r="K96" s="5"/>
      <x:c r="L96" s="5"/>
      <x:c r="M96" s="5"/>
      <x:c r="N96" s="5"/>
    </x:row>
    <x:row r="97" ht="21" customHeight="1">
      <x:c r="A97" s="3"/>
      <x:c r="B97" s="3"/>
      <x:c r="C97" s="3"/>
      <x:c r="D97" s="5"/>
      <x:c r="E97" s="5"/>
      <x:c r="F97" s="5"/>
      <x:c r="G97" s="5"/>
      <x:c r="H97" s="5"/>
      <x:c r="I97" s="5"/>
      <x:c r="J97" s="5"/>
      <x:c r="K97" s="5"/>
      <x:c r="L97" s="5"/>
      <x:c r="M97" s="5"/>
      <x:c r="N97" s="5"/>
    </x:row>
    <x:row r="98" ht="21" customHeight="1">
      <x:c r="A98" s="3"/>
      <x:c r="B98" s="3"/>
      <x:c r="C98" s="3"/>
      <x:c r="D98" s="5"/>
      <x:c r="E98" s="5"/>
      <x:c r="F98" s="5"/>
      <x:c r="G98" s="5"/>
      <x:c r="H98" s="5"/>
      <x:c r="I98" s="5"/>
      <x:c r="J98" s="5"/>
      <x:c r="K98" s="5"/>
      <x:c r="L98" s="5"/>
      <x:c r="M98" s="5"/>
      <x:c r="N98" s="5"/>
    </x:row>
    <x:row r="99" ht="21" customHeight="1">
      <x:c r="A99" s="3"/>
      <x:c r="B99" s="3"/>
      <x:c r="C99" s="3"/>
      <x:c r="D99" s="5"/>
      <x:c r="E99" s="5"/>
      <x:c r="F99" s="5"/>
      <x:c r="G99" s="5"/>
      <x:c r="H99" s="5"/>
      <x:c r="I99" s="5"/>
      <x:c r="J99" s="5"/>
      <x:c r="K99" s="5"/>
      <x:c r="L99" s="5"/>
      <x:c r="M99" s="5"/>
      <x:c r="N99" s="5"/>
    </x:row>
    <x:row r="100" ht="21" customHeight="1">
      <x:c r="A100" s="3"/>
      <x:c r="B100" s="3"/>
      <x:c r="C100" s="3"/>
      <x:c r="D100" s="5"/>
      <x:c r="E100" s="5"/>
      <x:c r="F100" s="5"/>
      <x:c r="G100" s="5"/>
      <x:c r="H100" s="5"/>
      <x:c r="I100" s="5"/>
      <x:c r="J100" s="5"/>
      <x:c r="K100" s="5"/>
      <x:c r="L100" s="5"/>
      <x:c r="M100" s="5"/>
      <x:c r="N100" s="5"/>
    </x:row>
  </x:sheetData>
  <x:dataValidations count="3">
    <x:dataValidation type="decimal" operator="greaterThan" sqref="D10">
      <x:formula1>0</x:formula1>
    </x:dataValidation>
    <x:dataValidation type="decimal" operator="between" sqref="D11">
      <x:formula1>0.01</x:formula1>
      <x:formula2>0.99</x:formula2>
    </x:dataValidation>
    <x:dataValidation type="decimal" operator="between" sqref="D14">
      <x:formula1>0</x:formula1>
      <x:formula2>0.99</x:formula2>
    </x:dataValidation>
  </x:dataValidations>
  <x:pageMargins left="0.7" right="0.7" top="0.75" bottom="0.75" header="0.3" footer="0.3"/>
</x:worksheet>
</file>