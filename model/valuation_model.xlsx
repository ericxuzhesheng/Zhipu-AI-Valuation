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Audit Summary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t="n">
        <v>0.135</v>
      </c>
    </row>
    <row r="3">
      <c r="A3" t="inlineStr">
        <is>
          <t>Terminal growth g</t>
        </is>
      </c>
      <c r="B3" t="n">
        <v>0.04</v>
      </c>
    </row>
    <row r="4">
      <c r="A4" t="inlineStr">
        <is>
          <t>Tax rate</t>
        </is>
      </c>
      <c r="B4" t="n">
        <v>0.15</v>
      </c>
    </row>
    <row r="5">
      <c r="A5" t="inlineStr">
        <is>
          <t>Shares outstanding (m)</t>
        </is>
      </c>
      <c r="B5" t="n">
        <v>445.843</v>
      </c>
    </row>
    <row r="6">
      <c r="A6" t="inlineStr">
        <is>
          <t>USD/HKD</t>
        </is>
      </c>
      <c r="B6" t="n">
        <v>7.8</v>
      </c>
    </row>
    <row r="7">
      <c r="A7" t="inlineStr">
        <is>
          <t>Net cash (US$m)</t>
        </is>
      </c>
      <c r="B7" t="n">
        <v>550</v>
      </c>
      <c r="C7" t="inlineStr">
        <is>
          <t>net IPO proceeds plus pre-IPO cash; preferred shares convert at IPO</t>
        </is>
      </c>
    </row>
    <row r="8">
      <c r="A8" t="inlineStr">
        <is>
          <t>Market date</t>
        </is>
      </c>
      <c r="B8" t="inlineStr">
        <is>
          <t>2026-07-17</t>
        </is>
      </c>
      <c r="C8" t="inlineStr">
        <is>
          <t>derived from data/Zhipu_KnowledgeAtlas_daily.csv</t>
        </is>
      </c>
    </row>
    <row r="9">
      <c r="A9" t="inlineStr">
        <is>
          <t>Market price (HK$)</t>
        </is>
      </c>
      <c r="B9" t="n">
        <v>1107</v>
      </c>
    </row>
    <row r="10">
      <c r="A10" t="inlineStr">
        <is>
          <t>2025 revenue (US$m)</t>
        </is>
      </c>
      <c r="B10" t="n">
        <v>102</v>
      </c>
    </row>
    <row r="11">
      <c r="A11" t="inlineStr">
        <is>
          <t>2026E revenue (US$m)</t>
        </is>
      </c>
      <c r="B11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Bear scenario</t>
        </is>
      </c>
    </row>
    <row r="2">
      <c r="A2" t="inlineStr">
        <is>
          <t>growth start (2027)</t>
        </is>
      </c>
      <c r="B2" t="n">
        <v>0.4</v>
      </c>
    </row>
    <row r="3">
      <c r="A3" t="inlineStr">
        <is>
          <t>growth end (2035)</t>
        </is>
      </c>
      <c r="B3" t="n">
        <v>0.06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0.18</v>
      </c>
    </row>
    <row r="6">
      <c r="A6" t="inlineStr">
        <is>
          <t>sales-to-capital</t>
        </is>
      </c>
      <c r="B6" t="n">
        <v>2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Base scenario</t>
        </is>
      </c>
    </row>
    <row r="2">
      <c r="A2" t="inlineStr">
        <is>
          <t>growth start (2027)</t>
        </is>
      </c>
      <c r="B2" t="n">
        <v>0.5600000000000001</v>
      </c>
    </row>
    <row r="3">
      <c r="A3" t="inlineStr">
        <is>
          <t>growth end (2035)</t>
        </is>
      </c>
      <c r="B3" t="n">
        <v>0.08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0.28</v>
      </c>
    </row>
    <row r="6">
      <c r="A6" t="inlineStr">
        <is>
          <t>sales-to-capital</t>
        </is>
      </c>
      <c r="B6" t="n">
        <v>1.8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Bull scenario</t>
        </is>
      </c>
    </row>
    <row r="2">
      <c r="A2" t="inlineStr">
        <is>
          <t>growth start (2027)</t>
        </is>
      </c>
      <c r="B2" t="n">
        <v>0.85</v>
      </c>
    </row>
    <row r="3">
      <c r="A3" t="inlineStr">
        <is>
          <t>growth end (2035)</t>
        </is>
      </c>
      <c r="B3" t="n">
        <v>0.12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0.35</v>
      </c>
    </row>
    <row r="6">
      <c r="A6" t="inlineStr">
        <is>
          <t>sales-to-capital</t>
        </is>
      </c>
      <c r="B6" t="n">
        <v>1.6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t="inlineStr">
        <is>
          <t>VALUATION SUMMARY</t>
        </is>
      </c>
    </row>
    <row r="2">
      <c r="A2" t="inlineStr">
        <is>
          <t>Scenario</t>
        </is>
      </c>
      <c r="B2" t="inlineStr">
        <is>
          <t>Prob</t>
        </is>
      </c>
      <c r="C2" t="inlineStr">
        <is>
          <t>Equity (US$m)</t>
        </is>
      </c>
      <c r="D2" t="inlineStr">
        <is>
          <t>Per share (HK$)</t>
        </is>
      </c>
    </row>
    <row r="3">
      <c r="A3" t="inlineStr">
        <is>
          <t>Bear</t>
        </is>
      </c>
      <c r="B3" t="n">
        <v>0.35</v>
      </c>
      <c r="C3">
        <f>Bear!B24</f>
        <v/>
      </c>
      <c r="D3">
        <f>Bear!B26</f>
        <v/>
      </c>
    </row>
    <row r="4">
      <c r="A4" t="inlineStr">
        <is>
          <t>Base</t>
        </is>
      </c>
      <c r="B4" t="n">
        <v>0.45</v>
      </c>
      <c r="C4">
        <f>Base!B24</f>
        <v/>
      </c>
      <c r="D4">
        <f>Base!B26</f>
        <v/>
      </c>
    </row>
    <row r="5">
      <c r="A5" t="inlineStr">
        <is>
          <t>Bull</t>
        </is>
      </c>
      <c r="B5" t="n">
        <v>0.2</v>
      </c>
      <c r="C5">
        <f>Bull!B24</f>
        <v/>
      </c>
      <c r="D5">
        <f>Bull!B26</f>
        <v/>
      </c>
    </row>
    <row r="6">
      <c r="A6" t="inlineStr">
        <is>
          <t>PROB-WEIGHTED</t>
        </is>
      </c>
      <c r="C6">
        <f>SUMPRODUCT(B3:B5,C3:C5)/SUM(B3:B5)</f>
        <v/>
      </c>
      <c r="D6">
        <f>SUMPRODUCT(B3:B5,D3:D5)/SUM(B3:B5)</f>
        <v/>
      </c>
    </row>
    <row r="7">
      <c r="A7" t="inlineStr">
        <is>
          <t>Market price (HK$)</t>
        </is>
      </c>
      <c r="B7">
        <f>Assumptions!B9</f>
        <v/>
      </c>
    </row>
    <row r="8">
      <c r="A8" t="inlineStr">
        <is>
          <t>DCF value as % of market</t>
        </is>
      </c>
      <c r="B8">
        <f>D6/B7</f>
        <v/>
      </c>
    </row>
    <row r="9">
      <c r="A9" t="inlineStr">
        <is>
          <t>Market equity value / revenue</t>
        </is>
      </c>
      <c r="B9">
        <f>(Assumptions!B9*Assumptions!B5/Assumptions!B6)/Assumptions!B11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Market date</t>
        </is>
      </c>
      <c r="B1" t="inlineStr">
        <is>
          <t>2026-07-17</t>
        </is>
      </c>
    </row>
    <row r="2">
      <c r="A2" t="inlineStr">
        <is>
          <t>Market price (HK$)</t>
        </is>
      </c>
      <c r="B2" t="n">
        <v>1107</v>
      </c>
    </row>
    <row r="3">
      <c r="A3" t="inlineStr">
        <is>
          <t>Market equity value (US$m)</t>
        </is>
      </c>
      <c r="B3" t="n">
        <v>63275.4</v>
      </c>
    </row>
    <row r="4">
      <c r="A4" t="inlineStr">
        <is>
          <t>Market EV / FY2026E revenue</t>
        </is>
      </c>
      <c r="B4" t="n">
        <v>316.4</v>
      </c>
    </row>
    <row r="5">
      <c r="A5" t="inlineStr">
        <is>
          <t>Bear per share (HK$)</t>
        </is>
      </c>
      <c r="B5" t="n">
        <v>11.9</v>
      </c>
    </row>
    <row r="6">
      <c r="A6" t="inlineStr">
        <is>
          <t>Base per share (HK$)</t>
        </is>
      </c>
      <c r="B6" t="n">
        <v>27.4</v>
      </c>
    </row>
    <row r="7">
      <c r="A7" t="inlineStr">
        <is>
          <t>Bull per share (HK$)</t>
        </is>
      </c>
      <c r="B7" t="n">
        <v>79.7</v>
      </c>
    </row>
    <row r="8">
      <c r="A8" t="inlineStr">
        <is>
          <t>Probability-weighted equity (US$m)</t>
        </is>
      </c>
      <c r="B8" t="n">
        <v>1853.8</v>
      </c>
    </row>
    <row r="9">
      <c r="A9" t="inlineStr">
        <is>
          <t>Probability-weighted per share (HK$)</t>
        </is>
      </c>
      <c r="B9" t="n">
        <v>32.4</v>
      </c>
    </row>
    <row r="10">
      <c r="A10" t="inlineStr">
        <is>
          <t>DCF value as % of market</t>
        </is>
      </c>
      <c r="B10" t="n">
        <v>0.0293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2026-07-19T03:46:02Z</dcterms:created>
  <dcterms:modified xmlns:dcterms="http://purl.org/dc/terms/" xmlns:xsi="http://www.w3.org/2001/XMLSchema-instance" xsi:type="dcterms:W3CDTF">2026-07-19T03:46:02Z</dcterms:modified>
</cp:coreProperties>
</file>