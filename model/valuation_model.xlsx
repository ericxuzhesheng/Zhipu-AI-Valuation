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3fe175a5ab4c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ed12bc3bc6754e95"/>
    <x:sheet xmlns:r="http://schemas.openxmlformats.org/officeDocument/2006/relationships" name="Bear" sheetId="2" r:id="R32f63253c7364734"/>
    <x:sheet xmlns:r="http://schemas.openxmlformats.org/officeDocument/2006/relationships" name="Base" sheetId="3" r:id="Ra94fc2cec2c74e82"/>
    <x:sheet xmlns:r="http://schemas.openxmlformats.org/officeDocument/2006/relationships" name="Bull" sheetId="4" r:id="Rf15a8cb8d75d4c93"/>
    <x:sheet xmlns:r="http://schemas.openxmlformats.org/officeDocument/2006/relationships" name="Summary" sheetId="5" r:id="R0a7347fa45774f12"/>
    <x:sheet xmlns:r="http://schemas.openxmlformats.org/officeDocument/2006/relationships" name="Valuation Comps" sheetId="6" r:id="R53aac2b96d6c4a16"/>
    <x:sheet xmlns:r="http://schemas.openxmlformats.org/officeDocument/2006/relationships" name="Audit Summary" sheetId="7" r:id="R6b3e991adfe841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  <x:numFmt numFmtId="206" formatCode="#,##0.0;(#,##0.0);&quot;-&quot;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6" fontId="0" fillId="0" borderId="1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9e1476db3f4cf4" /><Relationship Type="http://schemas.openxmlformats.org/officeDocument/2006/relationships/theme" Target="/xl/theme/theme1.xml" Id="Rcc920e973eb64b87" /><Relationship Type="http://schemas.openxmlformats.org/officeDocument/2006/relationships/sharedStrings" Target="/xl/sharedStrings.xml" Id="R136c97cdeb064e35" /><Relationship Type="http://schemas.openxmlformats.org/officeDocument/2006/relationships/worksheet" Target="/xl/worksheets/sheet1.xml" Id="Red12bc3bc6754e95" /><Relationship Type="http://schemas.openxmlformats.org/officeDocument/2006/relationships/worksheet" Target="/xl/worksheets/sheet2.xml" Id="R32f63253c7364734" /><Relationship Type="http://schemas.openxmlformats.org/officeDocument/2006/relationships/worksheet" Target="/xl/worksheets/sheet3.xml" Id="Ra94fc2cec2c74e82" /><Relationship Type="http://schemas.openxmlformats.org/officeDocument/2006/relationships/worksheet" Target="/xl/worksheets/sheet4.xml" Id="Rf15a8cb8d75d4c93" /><Relationship Type="http://schemas.openxmlformats.org/officeDocument/2006/relationships/worksheet" Target="/xl/worksheets/sheet5.xml" Id="R0a7347fa45774f12" /><Relationship Type="http://schemas.openxmlformats.org/officeDocument/2006/relationships/worksheet" Target="/xl/worksheets/sheet6.xml" Id="R53aac2b96d6c4a16" /><Relationship Type="http://schemas.openxmlformats.org/officeDocument/2006/relationships/worksheet" Target="/xl/worksheets/sheet7.xml" Id="R6b3e991adfe8410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487.58809</x:v>
      </x:c>
      <x:c r="C5" s="11" t="str">
        <x:v>September monthly return (2 Oct): 263,059,605 H + 224,528,485 unlisted shares; awards unvested. https://www1.hkexnews.hk/listedco/listconews/sehk/2026/1002/2026100201832_c.pdf</x:v>
      </x:c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f>(B20-B28-B21)/B29+(B22+B24)/B6+B25-B26</x:f>
        <x:v>6292.850240778773</x:v>
      </x:c>
      <x:c r="C7" s="11" t="str">
        <x:v>June net cash excludes restricted deposits; adds July/September funding less CB principal proxy. Excludes subsequent cash burn.</x:v>
      </x:c>
    </x:row>
    <x:row r="8">
      <x:c r="A8" s="6" t="inlineStr">
        <x:is>
          <x:t xml:space="preserve">Market date</x:t>
        </x:is>
      </x:c>
      <x:c r="B8" s="14" t="str">
        <x:v>2026-10-30</x:v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483.6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str">
        <x:v>2026H1 operating cash flow (RMB m)</x:v>
      </x:c>
      <x:c r="B23" s="60" t="n">
        <x:v>-3374.057</x:v>
      </x:c>
      <x:c r="C23" s="11" t="str">
        <x:v>Interim report pp.60-61; published 2026-09-24</x:v>
      </x:c>
    </x:row>
    <x:row r="24">
      <x:c r="A24" t="str">
        <x:v>September placement net (HKD m)</x:v>
      </x:c>
      <x:c r="B24" s="59" t="n">
        <x:v>15664.13</x:v>
      </x:c>
      <x:c r="C24" t="str">
        <x:v>Completed 2026-09-16</x:v>
      </x:c>
    </x:row>
    <x:row r="25">
      <x:c r="A25" t="str">
        <x:v>September CB net (USD m)</x:v>
      </x:c>
      <x:c r="B25" s="59" t="n">
        <x:v>3010.77</x:v>
      </x:c>
      <x:c r="C25" t="str">
        <x:v>Issued 2026-09-18</x:v>
      </x:c>
    </x:row>
    <x:row r="26">
      <x:c r="A26" t="str">
        <x:v>CB principal proxy (USD m)</x:v>
      </x:c>
      <x:c r="B26" s="59" t="n">
        <x:v>3000.636815920398</x:v>
      </x:c>
      <x:c r="C26" t="str">
        <x:v>3015.64 / 1.005; issue-date proxy, not IFRS fair value</x:v>
      </x:c>
    </x:row>
    <x:row r="27">
      <x:c r="A27" t="str">
        <x:v>September financing source</x:v>
      </x:c>
      <x:c r="B27" t="str">
        <x:v>https://www.hkexnews.hk/listedco/listconews/sehk/2026/0918/2026091800400_c.pdf</x:v>
      </x:c>
      <x:c r="C27" t="str">
        <x:v>Settlement / FX terms in September 13 announcement</x:v>
      </x:c>
    </x:row>
    <x:row r="28">
      <x:c r="A28" t="str">
        <x:v>June restricted cash (RMB m)</x:v>
      </x:c>
      <x:c r="B28" s="61" t="n">
        <x:v>105.995</x:v>
      </x:c>
      <x:c r="C28" t="str">
        <x:v>Note 14 p.74: https://www.hkexnews.hk/listedco/listconews/sehk/2026/0924/2026092401584_c.pdf</x:v>
      </x:c>
    </x:row>
    <x:row r="29">
      <x:c r="A29" t="str">
        <x:v>RMB per USD</x:v>
      </x:c>
      <x:c r="B29" s="61" t="n">
        <x:v>7.1</x:v>
      </x:c>
      <x:c r="C29" t="str">
        <x:v>Model FX assumption retained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3474.01993092921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7.124907277635124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55.57427676555397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6347.644271939435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13.018456361268864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101.54395961789714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15917.534830119273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32.64545454775008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254.63454547245058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3474.01993092921</x:v>
      </x:c>
      <x:c r="D3" s="14" t="n">
        <x:f>Bear!B26</x:f>
        <x:v>55.57427676555397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6347.644271939435</x:v>
      </x:c>
      <x:c r="D4" s="14" t="n">
        <x:f>Base!B26</x:f>
        <x:v>101.54395961789714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15917.534830119273</x:v>
      </x:c>
      <x:c r="D5" s="14" t="n">
        <x:f>Bull!B26</x:f>
        <x:v>254.63454547245058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7255.853864221825</x:v>
      </x:c>
      <x:c r="D6" s="37" t="n">
        <x:f>SUMPRODUCT(B3:B5,D3:D5)/SUM(B3:B5)</x:f>
        <x:v>116.07268779048772</x:v>
      </x:c>
    </x:row>
    <x:row r="7">
      <x:c r="A7" s="6" t="inlineStr">
        <x:is>
          <x:t xml:space="preserve">Market price (HK$)</x:t>
        </x:is>
      </x:c>
      <x:c r="B7" s="14" t="n">
        <x:f>Assumptions!B9</x:f>
        <x:v>483.6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0.24001796482731125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144.31124356172026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str">
        <x:v>Zhipu</x:v>
      </x:c>
      <x:c r="B2" s="44" t="str">
        <x:v>02513.HK</x:v>
      </x:c>
      <x:c r="C2" s="44" t="str">
        <x:v>core_frontier</x:v>
      </x:c>
      <x:c r="D2" s="44" t="str">
        <x:v>2026-10-30</x:v>
      </x:c>
      <x:c r="E2" s="45" t="str">
        <x:v>public market equity value</x:v>
      </x:c>
      <x:c r="F2" s="51" t="n">
        <x:v>30.230462</x:v>
      </x:c>
      <x:c r="G2" s="51" t="n">
        <x:v>0.209481</x:v>
      </x:c>
      <x:c r="H2" s="44" t="str">
        <x:v>USD</x:v>
      </x:c>
      <x:c r="I2" s="45" t="str">
        <x:v>LTM through 2026H1</x:v>
      </x:c>
      <x:c r="J2" s="44" t="n">
        <x:v>0</x:v>
      </x:c>
      <x:c r="K2" s="45" t="str">
        <x:v>https://query1.finance.yahoo.com/v8/finance/chart/2513.HK</x:v>
      </x:c>
      <x:c r="L2" s="45" t="str">
        <x:v>https://www1.hkexnews.hk/listedco/listconews/sehk/2026/0831/2026083101539.pdf</x:v>
      </x:c>
      <x:c r="M2" s="45" t="str">
        <x:v>Subject company; equity value is refreshed from the local market file and post-placement share count; LTM revenue is FY2025 less H1 2025 plus H1 2026 and translated at USD/CNY 7.1.</x:v>
      </x:c>
      <x:c r="N2" s="55" t="n">
        <x:f>F2/G2</x:f>
        <x:v>144.3112358638731</x:v>
      </x:c>
    </x:row>
    <x:row r="3" ht="48" customHeight="1">
      <x:c r="A3" s="46" t="str">
        <x:v>MiniMax</x:v>
      </x:c>
      <x:c r="B3" s="46" t="str">
        <x:v>00100.HK</x:v>
      </x:c>
      <x:c r="C3" s="46" t="str">
        <x:v>core_frontier</x:v>
      </x:c>
      <x:c r="D3" s="46" t="str">
        <x:v>2026-10-30</x:v>
      </x:c>
      <x:c r="E3" s="47" t="str">
        <x:v>public market equity value</x:v>
      </x:c>
      <x:c r="F3" s="52" t="n">
        <x:v>7.222007</x:v>
      </x:c>
      <x:c r="G3" s="52" t="n">
        <x:v>0.165182</x:v>
      </x:c>
      <x:c r="H3" s="46" t="str">
        <x:v>USD</x:v>
      </x:c>
      <x:c r="I3" s="47" t="str">
        <x:v>LTM through 2026H1</x:v>
      </x:c>
      <x:c r="J3" s="46" t="n">
        <x:v>0</x:v>
      </x:c>
      <x:c r="K3" s="47" t="str">
        <x:v>https://query1.finance.yahoo.com/v8/finance/chart/0100.HK</x:v>
      </x:c>
      <x:c r="L3" s="47" t="str">
        <x:v>https://www1.hkexnews.hk/listedco/listconews/sehk/2026/0826/2026082600680.pdf</x:v>
      </x:c>
      <x:c r="M3" s="47" t="str">
        <x:v>Closest listed foundation-model peer; public-market LTM multiple is shown separately from private transaction references. Price refreshed to 2026-10-30; share-count and FX basis carried forward from 2026-08-31.</x:v>
      </x:c>
      <x:c r="N3" s="56" t="n">
        <x:f>F3/G3</x:f>
        <x:v>43.721513239941395</x:v>
      </x:c>
    </x:row>
    <x:row r="4" ht="48" customHeight="1">
      <x:c r="A4" s="46" t="str">
        <x:v>OpenAI</x:v>
      </x:c>
      <x:c r="B4" s="46" t="str">
        <x:v>private</x:v>
      </x:c>
      <x:c r="C4" s="46" t="str">
        <x:v>core_frontier</x:v>
      </x:c>
      <x:c r="D4" s="46" t="str">
        <x:v>2026-03-31</x:v>
      </x:c>
      <x:c r="E4" s="47" t="str">
        <x:v>post-money financing</x:v>
      </x:c>
      <x:c r="F4" s="52" t="n">
        <x:v>852</x:v>
      </x:c>
      <x:c r="G4" s="52" t="n">
        <x:v>25</x:v>
      </x:c>
      <x:c r="H4" s="46" t="str">
        <x:v>USD</x:v>
      </x:c>
      <x:c r="I4" s="47" t="str">
        <x:v>annualized revenue at February 2026</x:v>
      </x:c>
      <x:c r="J4" s="46" t="n">
        <x:v>1</x:v>
      </x:c>
      <x:c r="K4" s="47" t="str">
        <x:v>https://openai.com/index/accelerating-the-next-phase-ai/</x:v>
      </x:c>
      <x:c r="L4" s="47" t="str">
        <x:v>https://finance.yahoo.com/news/openai-tops-25-billion-annualized-033836274.html</x:v>
      </x:c>
      <x:c r="M4" s="47" t="str">
        <x:v>Private frontier-lab transaction reference; revenue was reported by Reuters and was not independently verified.</x:v>
      </x:c>
      <x:c r="N4" s="56" t="n">
        <x:f>F4/G4</x:f>
        <x:v>34.08</x:v>
      </x:c>
    </x:row>
    <x:row r="5" ht="48" customHeight="1">
      <x:c r="A5" s="46" t="str">
        <x:v>Anthropic</x:v>
      </x:c>
      <x:c r="B5" s="46" t="str">
        <x:v>private</x:v>
      </x:c>
      <x:c r="C5" s="46" t="str">
        <x:v>core_frontier</x:v>
      </x:c>
      <x:c r="D5" s="46" t="str">
        <x:v>2026-05-28</x:v>
      </x:c>
      <x:c r="E5" s="47" t="str">
        <x:v>post-money financing</x:v>
      </x:c>
      <x:c r="F5" s="52" t="n">
        <x:v>965</x:v>
      </x:c>
      <x:c r="G5" s="52" t="n">
        <x:v>47</x:v>
      </x:c>
      <x:c r="H5" s="46" t="str">
        <x:v>USD</x:v>
      </x:c>
      <x:c r="I5" s="47" t="str">
        <x:v>annualized revenue at May 2026</x:v>
      </x:c>
      <x:c r="J5" s="46" t="n">
        <x:v>1</x:v>
      </x:c>
      <x:c r="K5" s="47" t="str">
        <x:v>https://www.anthropic.com/news/series-h</x:v>
      </x:c>
      <x:c r="L5" s="47" t="str">
        <x:v>https://www.anthropic.com/news/series-h</x:v>
      </x:c>
      <x:c r="M5" s="47" t="str">
        <x:v>Private frontier-lab transaction reference with valuation and revenue disclosed together by the company. The September IPO target and 2028 forecast are separately modelled in ANTHROPIC_COMPARISON.md; excluded from the completed-deal range.</x:v>
      </x:c>
      <x:c r="N5" s="56" t="n">
        <x:f>F5/G5</x:f>
        <x:v>20.53191489361702</x:v>
      </x:c>
    </x:row>
    <x:row r="6" ht="48" customHeight="1">
      <x:c r="A6" s="46" t="str">
        <x:v>Mistral</x:v>
      </x:c>
      <x:c r="B6" s="46" t="str">
        <x:v>private</x:v>
      </x:c>
      <x:c r="C6" s="46" t="str">
        <x:v>core_frontier</x:v>
      </x:c>
      <x:c r="D6" s="46" t="str">
        <x:v>2025-09-09</x:v>
      </x:c>
      <x:c r="E6" s="47" t="str">
        <x:v>post-money financing</x:v>
      </x:c>
      <x:c r="F6" s="52" t="n">
        <x:v>11.7</x:v>
      </x:c>
      <x:c r="G6" s="52" t="n">
        <x:v>0.3</x:v>
      </x:c>
      <x:c r="H6" s="46" t="str">
        <x:v>EUR</x:v>
      </x:c>
      <x:c r="I6" s="47" t="str">
        <x:v>annualized revenue at September 2025</x:v>
      </x:c>
      <x:c r="J6" s="46" t="n">
        <x:v>1</x:v>
      </x:c>
      <x:c r="K6" s="47" t="str">
        <x:v>https://mistral.ai/news/mistral-ai-raises-1-7-b-to-accelerate-technological-progress-with-ai/</x:v>
      </x:c>
      <x:c r="L6" s="47" t="str">
        <x:v>https://www.lemonde.fr/economie/article/2025/09/26/mistral-ai-incarnation-de-l-intelligence-artificielle_6643087_3234.html</x:v>
      </x:c>
      <x:c r="M6" s="47" t="str">
        <x:v>Older private frontier-lab reference; included in the private transaction range but dated separately.</x:v>
      </x:c>
      <x:c r="N6" s="56" t="n">
        <x:f>F6/G6</x:f>
        <x:v>39</x:v>
      </x:c>
    </x:row>
    <x:row r="7" ht="48" customHeight="1">
      <x:c r="A7" s="48" t="str">
        <x:v>SenseTime</x:v>
      </x:c>
      <x:c r="B7" s="48" t="str">
        <x:v>00020.HK</x:v>
      </x:c>
      <x:c r="C7" s="48" t="str">
        <x:v>hk_adjacent</x:v>
      </x:c>
      <x:c r="D7" s="48" t="str">
        <x:v>2026-10-30</x:v>
      </x:c>
      <x:c r="E7" s="49" t="str">
        <x:v>implied total equity value</x:v>
      </x:c>
      <x:c r="F7" s="53" t="n">
        <x:v>40.35074</x:v>
      </x:c>
      <x:c r="G7" s="53" t="n">
        <x:v>5.567388</x:v>
      </x:c>
      <x:c r="H7" s="48" t="str">
        <x:v>CNY</x:v>
      </x:c>
      <x:c r="I7" s="49" t="str">
        <x:v>LTM through 2026H1</x:v>
      </x:c>
      <x:c r="J7" s="48" t="n">
        <x:v>0</x:v>
      </x:c>
      <x:c r="K7" s="49" t="str">
        <x:v>https://query1.finance.yahoo.com/v8/finance/chart/0020.HK?period1=1792713600&amp;period2=1793404800&amp;interval=1d</x:v>
      </x:c>
      <x:c r="L7" s="49" t="str">
        <x:v>https://www1.hkexnews.hk/listedco/listconews/sehk/2026/0826/2026082600408.pdf</x:v>
      </x:c>
      <x:c r="M7" s="49" t="str">
        <x:v>Adjacent Hong Kong AI platform; mixed computer-vision generative-AI and solution revenue makes it contextual only. Price refreshed to 2026-10-30; August share-count and FX basis retained, not a newly verified market capitalization.</x:v>
      </x:c>
      <x:c r="N7" s="57" t="n">
        <x:f>F7/G7</x:f>
        <x:v>7.247696765520923</x:v>
      </x:c>
    </x:row>
    <x:row r="8" ht="48" customHeight="1">
      <x:c r="A8" s="48" t="str">
        <x:v>Phancy</x:v>
      </x:c>
      <x:c r="B8" s="48" t="str">
        <x:v>06682.HK</x:v>
      </x:c>
      <x:c r="C8" s="48" t="str">
        <x:v>hk_adjacent</x:v>
      </x:c>
      <x:c r="D8" s="48" t="str">
        <x:v>2026-10-30</x:v>
      </x:c>
      <x:c r="E8" s="49" t="str">
        <x:v>implied total equity value</x:v>
      </x:c>
      <x:c r="F8" s="53" t="n">
        <x:v>10.42672</x:v>
      </x:c>
      <x:c r="G8" s="53" t="n">
        <x:v>8.274083</x:v>
      </x:c>
      <x:c r="H8" s="48" t="str">
        <x:v>CNY</x:v>
      </x:c>
      <x:c r="I8" s="49" t="str">
        <x:v>LTM through 2026H1</x:v>
      </x:c>
      <x:c r="J8" s="48" t="n">
        <x:v>0</x:v>
      </x:c>
      <x:c r="K8" s="49" t="str">
        <x:v>https://query1.finance.yahoo.com/v8/finance/chart/6682.HK?period1=1792713600&amp;period2=1793404800&amp;interval=1d</x:v>
      </x:c>
      <x:c r="L8" s="49" t="str">
        <x:v>https://www1.hkexnews.hk/listedco/listconews/sehk/2026/0820/2026082000357.pdf</x:v>
      </x:c>
      <x:c r="M8" s="49" t="str">
        <x:v>Enterprise AI platform and agentic services with a different revenue and margin mix; contextual only. Price refreshed to 2026-10-30; August share-count and FX basis retained, not a newly verified market capitalization.</x:v>
      </x:c>
      <x:c r="N8" s="57" t="n">
        <x:f>F8/G8</x:f>
        <x:v>1.2601662323184335</x:v>
      </x:c>
    </x:row>
    <x:row r="9" ht="48" customHeight="1">
      <x:c r="A9" s="48" t="str">
        <x:v>Wenge AI</x:v>
      </x:c>
      <x:c r="B9" s="48" t="str">
        <x:v>01956.HK</x:v>
      </x:c>
      <x:c r="C9" s="48" t="str">
        <x:v>hk_adjacent</x:v>
      </x:c>
      <x:c r="D9" s="48" t="str">
        <x:v>2026-10-30</x:v>
      </x:c>
      <x:c r="E9" s="49" t="str">
        <x:v>implied total equity value</x:v>
      </x:c>
      <x:c r="F9" s="53" t="n">
        <x:v>7.845959</x:v>
      </x:c>
      <x:c r="G9" s="53" t="n">
        <x:v>0.459773</x:v>
      </x:c>
      <x:c r="H9" s="48" t="str">
        <x:v>CNY</x:v>
      </x:c>
      <x:c r="I9" s="49" t="str">
        <x:v>LTM through 2026H1</x:v>
      </x:c>
      <x:c r="J9" s="48" t="n">
        <x:v>0</x:v>
      </x:c>
      <x:c r="K9" s="49" t="str">
        <x:v>https://query1.finance.yahoo.com/v8/finance/chart/1956.HK</x:v>
      </x:c>
      <x:c r="L9" s="49" t="str">
        <x:v>https://www1.hkexnews.hk/listedco/listconews/sehk/2026/0825/2026082500959.pdf</x:v>
      </x:c>
      <x:c r="M9" s="49" t="str">
        <x:v>Decision-intelligence and project-delivery model with a short trading history; contextual only. Price refreshed to 2026-10-30; share-count and FX basis carried forward from 2026-08-31.</x:v>
      </x:c>
      <x:c r="N9" s="57" t="n">
        <x:f>F9/G9</x:f>
        <x:v>17.06485374304276</x:v>
      </x:c>
    </x:row>
    <x:row r="10" ht="48" customHeight="1">
      <x:c r="A10" s="32" t="str">
        <x:v>Palantir</x:v>
      </x:c>
      <x:c r="B10" s="32" t="str">
        <x:v>PLTR</x:v>
      </x:c>
      <x:c r="C10" s="32" t="str">
        <x:v>commercialization_reference</x:v>
      </x:c>
      <x:c r="D10" s="32" t="str">
        <x:v>2026-10-30</x:v>
      </x:c>
      <x:c r="E10" s="50" t="str">
        <x:v>public market equity value</x:v>
      </x:c>
      <x:c r="F10" s="54" t="n">
        <x:v>442.4016240697266</x:v>
      </x:c>
      <x:c r="G10" s="54" t="n">
        <x:v>4.475446</x:v>
      </x:c>
      <x:c r="H10" s="32" t="str">
        <x:v>USD</x:v>
      </x:c>
      <x:c r="I10" s="50" t="str">
        <x:v>FY2025 revenue</x:v>
      </x:c>
      <x:c r="J10" s="32" t="n">
        <x:v>0</x:v>
      </x:c>
      <x:c r="K10" s="50" t="str">
        <x:v>https://query1.finance.yahoo.com/v8/finance/chart/PLTR?period1=1793318400&amp;period2=1793404800&amp;interval=1d</x:v>
      </x:c>
      <x:c r="L10" s="50" t="str">
        <x:v>https://www.sec.gov/Archives/edgar/data/1321655/000132165526000011/pltr-20251231.htm</x:v>
      </x:c>
      <x:c r="M10" s="50" t="str">
        <x:v>Mature AI software commercialization reference; not a frontier-model laboratory. Price refreshed to 2026-10-30; August share-count and FX basis retained, not a newly verified market capitalization.</x:v>
      </x:c>
      <x:c r="N10" s="58" t="n">
        <x:f>F10/G10</x:f>
        <x:v>98.85084616588529</x:v>
      </x:c>
    </x:row>
    <x:row r="11" ht="48" customHeight="1">
      <x:c r="A11" s="32" t="str">
        <x:v>Cloudflare</x:v>
      </x:c>
      <x:c r="B11" s="32" t="str">
        <x:v>NET</x:v>
      </x:c>
      <x:c r="C11" s="32" t="str">
        <x:v>commercialization_reference</x:v>
      </x:c>
      <x:c r="D11" s="32" t="str">
        <x:v>2026-10-30</x:v>
      </x:c>
      <x:c r="E11" s="50" t="str">
        <x:v>public market equity value</x:v>
      </x:c>
      <x:c r="F11" s="54" t="n">
        <x:v>99.59870512601218</x:v>
      </x:c>
      <x:c r="G11" s="54" t="n">
        <x:v>2.1679</x:v>
      </x:c>
      <x:c r="H11" s="32" t="str">
        <x:v>USD</x:v>
      </x:c>
      <x:c r="I11" s="50" t="str">
        <x:v>FY2025 revenue</x:v>
      </x:c>
      <x:c r="J11" s="32" t="n">
        <x:v>0</x:v>
      </x:c>
      <x:c r="K11" s="50" t="str">
        <x:v>https://query1.finance.yahoo.com/v8/finance/chart/NET?period1=1793318400&amp;period2=1793404800&amp;interval=1d</x:v>
      </x:c>
      <x:c r="L11" s="50" t="str">
        <x:v>https://www.cloudflare.com/press/press-releases/2026/cloudflare-announces-fourth-quarter-and-fiscal-year-2025-financial-results/</x:v>
      </x:c>
      <x:c r="M11" s="50" t="str">
        <x:v>Connectivity and inference-infrastructure reference; economics differ from a model laboratory. Price refreshed to 2026-10-30; August share-count and FX basis retained, not a newly verified market capitalization.</x:v>
      </x:c>
      <x:c r="N11" s="58" t="n">
        <x:f>F11/G11</x:f>
        <x:v>45.9424812611339</x:v>
      </x:c>
    </x:row>
    <x:row r="12" ht="48" customHeight="1">
      <x:c r="A12" s="32" t="str">
        <x:v>Snowflake</x:v>
      </x:c>
      <x:c r="B12" s="32" t="str">
        <x:v>SNOW</x:v>
      </x:c>
      <x:c r="C12" s="32" t="str">
        <x:v>commercialization_reference</x:v>
      </x:c>
      <x:c r="D12" s="32" t="str">
        <x:v>2026-10-30</x:v>
      </x:c>
      <x:c r="E12" s="50" t="str">
        <x:v>public market equity value</x:v>
      </x:c>
      <x:c r="F12" s="54" t="n">
        <x:v>106.08751224002874</x:v>
      </x:c>
      <x:c r="G12" s="54" t="n">
        <x:v>4.683946</x:v>
      </x:c>
      <x:c r="H12" s="32" t="str">
        <x:v>USD</x:v>
      </x:c>
      <x:c r="I12" s="50" t="str">
        <x:v>FY2026 revenue</x:v>
      </x:c>
      <x:c r="J12" s="32" t="n">
        <x:v>0</x:v>
      </x:c>
      <x:c r="K12" s="50" t="str">
        <x:v>https://query1.finance.yahoo.com/v8/finance/chart/SNOW?period1=1793318400&amp;period2=1793404800&amp;interval=1d</x:v>
      </x:c>
      <x:c r="L12" s="50" t="str">
        <x:v>https://www.sec.gov/Archives/edgar/data/1640147/000164014726000023/snowflake2026ars.pdf</x:v>
      </x:c>
      <x:c r="M12" s="50" t="str">
        <x:v>Data-cloud commercialization reference; not a direct foundation-model comparable. Price refreshed to 2026-10-30; August share-count and FX basis retained, not a newly verified market capitalization.</x:v>
      </x:c>
      <x:c r="N12" s="58" t="n">
        <x:f>F12/G12</x:f>
        <x:v>22.649174913636653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str">
        <x:v>Market date</x:v>
      </x:c>
      <x:c r="B1" s="28" t="str">
        <x:v>2026-10-30</x:v>
      </x:c>
    </x:row>
    <x:row r="2">
      <x:c r="A2" s="6" t="str">
        <x:v>Market price (HK$)</x:v>
      </x:c>
      <x:c r="B2" s="14" t="n">
        <x:v>483.6</x:v>
      </x:c>
    </x:row>
    <x:row r="3">
      <x:c r="A3" s="6" t="str">
        <x:v>Market equity value (US$m)</x:v>
      </x:c>
      <x:c r="B3" s="14" t="n">
        <x:v>30230.5</x:v>
      </x:c>
    </x:row>
    <x:row r="4">
      <x:c r="A4" s="6" t="str">
        <x:v>Market equity value / LTM revenue</x:v>
      </x:c>
      <x:c r="B4" s="14" t="n">
        <x:v>144.3</x:v>
      </x:c>
    </x:row>
    <x:row r="5">
      <x:c r="A5" s="6" t="str">
        <x:v>Bear per share (HK$)</x:v>
      </x:c>
      <x:c r="B5" s="14" t="n">
        <x:v>55.6</x:v>
      </x:c>
    </x:row>
    <x:row r="6">
      <x:c r="A6" s="6" t="str">
        <x:v>Base per share (HK$)</x:v>
      </x:c>
      <x:c r="B6" s="14" t="n">
        <x:v>101.5</x:v>
      </x:c>
    </x:row>
    <x:row r="7">
      <x:c r="A7" s="6" t="str">
        <x:v>Bull per share (HK$)</x:v>
      </x:c>
      <x:c r="B7" s="14" t="n">
        <x:v>254.6</x:v>
      </x:c>
    </x:row>
    <x:row r="8">
      <x:c r="A8" s="6" t="str">
        <x:v>Probability-weighted equity (US$m)</x:v>
      </x:c>
      <x:c r="B8" s="14" t="n">
        <x:v>7255.9</x:v>
      </x:c>
    </x:row>
    <x:row r="9">
      <x:c r="A9" s="6" t="str">
        <x:v>Probability-weighted per share (HK$)</x:v>
      </x:c>
      <x:c r="B9" s="14" t="n">
        <x:v>116.1</x:v>
      </x:c>
    </x:row>
    <x:row r="10">
      <x:c r="A10" s="6" t="str">
        <x:v>DCF value as % of market</x:v>
      </x:c>
      <x:c r="B10" s="12" t="n">
        <x:v>0.24</x:v>
      </x:c>
    </x:row>
  </x:sheetData>
  <x:pageMargins left="0.7" right="0.7" top="0.75" bottom="0.75" header="0.3" footer="0.3"/>
</x:worksheet>
</file>